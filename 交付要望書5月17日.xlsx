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c1800577\Desktop\"/>
    </mc:Choice>
  </mc:AlternateContent>
  <xr:revisionPtr revIDLastSave="0" documentId="13_ncr:1_{217333CA-A1D0-446E-9619-4E29B5E24BF1}" xr6:coauthVersionLast="47" xr6:coauthVersionMax="47" xr10:uidLastSave="{00000000-0000-0000-0000-000000000000}"/>
  <bookViews>
    <workbookView xWindow="-110" yWindow="-110" windowWidth="21820" windowHeight="13900" tabRatio="500" firstSheet="2" activeTab="3" xr2:uid="{00000000-000D-0000-FFFF-FFFF00000000}"/>
  </bookViews>
  <sheets>
    <sheet name="表紙" sheetId="1" r:id="rId1"/>
    <sheet name="１．団体概要" sheetId="2" r:id="rId2"/>
    <sheet name="２．自己申告書" sheetId="3" r:id="rId3"/>
    <sheet name="３．全体計画、４．観点対応" sheetId="4" r:id="rId4"/>
    <sheet name="５．プロジェクト詳細" sheetId="5" r:id="rId5"/>
    <sheet name="６．スケジュール詳細" sheetId="6" r:id="rId6"/>
    <sheet name="７．連携先、８．指導者等" sheetId="7" r:id="rId7"/>
    <sheet name="９．成果目標" sheetId="8" r:id="rId8"/>
    <sheet name="１０．収支予算書" sheetId="9" r:id="rId9"/>
    <sheet name="経費予定額(令和8年度・1年目) " sheetId="10" r:id="rId10"/>
    <sheet name="経費予定額(令和9年度・2年目)" sheetId="11" r:id="rId11"/>
    <sheet name="経費予定額(令和10年度・3年目)" sheetId="12" r:id="rId12"/>
    <sheet name="誓約書" sheetId="13" r:id="rId13"/>
    <sheet name="芸文振確認用" sheetId="14" r:id="rId14"/>
    <sheet name="PPT変更履歴" sheetId="15" r:id="rId15"/>
    <sheet name="コメント一覧" sheetId="16" r:id="rId16"/>
    <sheet name="作業サマリー" sheetId="17" r:id="rId17"/>
  </sheets>
  <definedNames>
    <definedName name="_AMO_XmlVersion" hidden="1">"'1'"</definedName>
    <definedName name="_Fill" hidden="1">#REF!</definedName>
    <definedName name="_Key1" hidden="1">#REF!</definedName>
    <definedName name="_Order1" hidden="1">1</definedName>
    <definedName name="_Sort" hidden="1">#REF!</definedName>
    <definedName name="GRN人数">#REF!</definedName>
    <definedName name="_xlnm.Print_Area" localSheetId="1">'１．団体概要'!$B$1:$T$27</definedName>
    <definedName name="_xlnm.Print_Area" localSheetId="8">'１０．収支予算書'!$A$1:$C$32</definedName>
    <definedName name="_xlnm.Print_Area" localSheetId="2">'２．自己申告書'!$B$1:$K$79</definedName>
    <definedName name="_xlnm.Print_Area" localSheetId="3">'３．全体計画、４．観点対応'!$B$1:$J$23</definedName>
    <definedName name="_xlnm.Print_Area" localSheetId="4">'５．プロジェクト詳細'!$B$1:$H$25</definedName>
    <definedName name="_xlnm.Print_Area" localSheetId="5">'６．スケジュール詳細'!$B$1:$N$19</definedName>
    <definedName name="_xlnm.Print_Area" localSheetId="6">'７．連携先、８．指導者等'!$B$1:$J$23</definedName>
    <definedName name="_xlnm.Print_Area" localSheetId="7">'９．成果目標'!$B$1:$H$25</definedName>
    <definedName name="_xlnm.Print_Area" localSheetId="11">'経費予定額(令和10年度・3年目)'!$A$1:$N$131</definedName>
    <definedName name="_xlnm.Print_Area" localSheetId="9">'経費予定額(令和8年度・1年目) '!$A$1:$N$131</definedName>
    <definedName name="_xlnm.Print_Area" localSheetId="10">'経費予定額(令和9年度・2年目)'!$A$1:$N$131</definedName>
    <definedName name="_xlnm.Print_Area" localSheetId="12">誓約書!$B$1:$G$20</definedName>
    <definedName name="_xlnm.Print_Area" localSheetId="0">表紙!$B$1:$P$47</definedName>
    <definedName name="あああ" hidden="1">#REF!</definedName>
    <definedName name="ああああ">#REF!</definedName>
    <definedName name="その他">#REF!</definedName>
    <definedName name="一般人数">#REF!</definedName>
    <definedName name="運搬費">#REF!</definedName>
    <definedName name="演奏料">#REF!</definedName>
    <definedName name="応募分野" localSheetId="6">#REF!</definedName>
    <definedName name="応募分野">#REF!</definedName>
    <definedName name="会場費" localSheetId="6">#REF!</definedName>
    <definedName name="会場費">#REF!</definedName>
    <definedName name="会場費・舞台費・運搬費" localSheetId="6">#REF!</definedName>
    <definedName name="会場費・舞台費・運搬費">#REF!</definedName>
    <definedName name="感染症対策経費" localSheetId="6">#REF!</definedName>
    <definedName name="感染症対策経費">#REF!</definedName>
    <definedName name="記録作成">#REF!</definedName>
    <definedName name="稽古費" localSheetId="6">#REF!</definedName>
    <definedName name="稽古費">#REF!</definedName>
    <definedName name="後継者養成">#REF!</definedName>
    <definedName name="交通費GRN">#REF!</definedName>
    <definedName name="交通費一般">#REF!</definedName>
    <definedName name="参照データ">#REF!</definedName>
    <definedName name="事務経費">#REF!</definedName>
    <definedName name="謝金・旅費・宣伝費等" localSheetId="6">#REF!</definedName>
    <definedName name="謝金・旅費・宣伝費等">#REF!</definedName>
    <definedName name="出演費・音楽費・文芸費" localSheetId="6">#REF!</definedName>
    <definedName name="出演費・音楽費・文芸費">#REF!</definedName>
    <definedName name="巡回運搬賃１">#REF!</definedName>
    <definedName name="巡回運搬賃２">#REF!</definedName>
    <definedName name="助成対象外経費" localSheetId="6">#REF!</definedName>
    <definedName name="助成対象外経費">#REF!</definedName>
    <definedName name="情報発信">#REF!</definedName>
    <definedName name="人材育成">#REF!</definedName>
    <definedName name="世界文化遺産活性化">#REF!</definedName>
    <definedName name="宣伝費">#REF!</definedName>
    <definedName name="地域の文化資源を核としたコミュニティの再生・活性化">#REF!</definedName>
    <definedName name="地域の文化資源を活用した集客・交流">#REF!</definedName>
    <definedName name="地域文化遺産活性化">#REF!</definedName>
    <definedName name="伝統文化の継承体制の維持・確立">#REF!</definedName>
    <definedName name="俳優出演料">#REF!</definedName>
    <definedName name="普及啓発">#REF!</definedName>
    <definedName name="舞台費" localSheetId="6">#REF!</definedName>
    <definedName name="舞台費">#REF!</definedName>
    <definedName name="用具等整備">#REF!</definedName>
    <definedName name="旅費" localSheetId="6">#REF!</definedName>
    <definedName name="旅費">#REF!</definedName>
    <definedName name="練習会場費">#REF!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46" i="14" l="1"/>
  <c r="C145" i="14"/>
  <c r="C144" i="14"/>
  <c r="C143" i="14"/>
  <c r="C125" i="14"/>
  <c r="C124"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6" i="14"/>
  <c r="C95" i="14"/>
  <c r="C94" i="14"/>
  <c r="C93" i="14"/>
  <c r="C92" i="14"/>
  <c r="C91" i="14"/>
  <c r="C90" i="14"/>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G52" i="14"/>
  <c r="F52" i="14"/>
  <c r="E52" i="14"/>
  <c r="D52" i="14"/>
  <c r="C52" i="14"/>
  <c r="G51" i="14"/>
  <c r="F51" i="14"/>
  <c r="E51" i="14"/>
  <c r="D51" i="14"/>
  <c r="C51" i="14"/>
  <c r="G50" i="14"/>
  <c r="C50" i="14" s="1"/>
  <c r="F50" i="14"/>
  <c r="E50" i="14"/>
  <c r="D50"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9" i="14"/>
  <c r="C8" i="14"/>
  <c r="C7" i="14"/>
  <c r="C6" i="14"/>
  <c r="C5" i="14"/>
  <c r="C4" i="14"/>
  <c r="C3" i="14"/>
  <c r="C2" i="14"/>
  <c r="C1" i="14"/>
  <c r="L129" i="12"/>
  <c r="L128" i="12"/>
  <c r="L127" i="12"/>
  <c r="L130" i="12" s="1"/>
  <c r="L124" i="12"/>
  <c r="L123" i="12"/>
  <c r="L122" i="12"/>
  <c r="L121" i="12"/>
  <c r="L120" i="12"/>
  <c r="L118" i="12"/>
  <c r="L117" i="12"/>
  <c r="L116" i="12"/>
  <c r="L119" i="12" s="1"/>
  <c r="L115" i="12"/>
  <c r="L113" i="12"/>
  <c r="L112" i="12"/>
  <c r="L114" i="12" s="1"/>
  <c r="L111" i="12"/>
  <c r="L109" i="12"/>
  <c r="L108" i="12"/>
  <c r="L107" i="12"/>
  <c r="L110" i="12" s="1"/>
  <c r="L105" i="12"/>
  <c r="L104" i="12"/>
  <c r="L106" i="12" s="1"/>
  <c r="L103" i="12"/>
  <c r="L101" i="12"/>
  <c r="L100" i="12"/>
  <c r="L102" i="12" s="1"/>
  <c r="L99" i="12"/>
  <c r="L97" i="12"/>
  <c r="L96" i="12"/>
  <c r="L95" i="12"/>
  <c r="L98" i="12" s="1"/>
  <c r="L93" i="12"/>
  <c r="L92" i="12"/>
  <c r="L94" i="12" s="1"/>
  <c r="L91" i="12"/>
  <c r="L89" i="12"/>
  <c r="L88" i="12"/>
  <c r="L90" i="12" s="1"/>
  <c r="L87" i="12"/>
  <c r="L86" i="12"/>
  <c r="L74" i="12"/>
  <c r="L73" i="12"/>
  <c r="L72" i="12"/>
  <c r="L71" i="12"/>
  <c r="L70" i="12"/>
  <c r="L75" i="12" s="1"/>
  <c r="T62" i="12"/>
  <c r="Q62" i="12"/>
  <c r="L61" i="12"/>
  <c r="L60" i="12"/>
  <c r="L59" i="12"/>
  <c r="L58" i="12"/>
  <c r="L62" i="12" s="1"/>
  <c r="W62" i="12" s="1"/>
  <c r="T57" i="12"/>
  <c r="Q57" i="12"/>
  <c r="L56" i="12"/>
  <c r="L55" i="12"/>
  <c r="L54" i="12"/>
  <c r="L53" i="12"/>
  <c r="L52" i="12"/>
  <c r="L57" i="12" s="1"/>
  <c r="W57" i="12" s="1"/>
  <c r="T51" i="12"/>
  <c r="Q51" i="12"/>
  <c r="L50" i="12"/>
  <c r="L49" i="12"/>
  <c r="L48" i="12"/>
  <c r="L47" i="12"/>
  <c r="L51" i="12" s="1"/>
  <c r="W51" i="12" s="1"/>
  <c r="T46" i="12"/>
  <c r="Q46" i="12"/>
  <c r="L45" i="12"/>
  <c r="L44" i="12"/>
  <c r="L46" i="12" s="1"/>
  <c r="W46" i="12" s="1"/>
  <c r="L43" i="12"/>
  <c r="L42" i="12"/>
  <c r="T41" i="12"/>
  <c r="Q41" i="12"/>
  <c r="L40" i="12"/>
  <c r="L39" i="12"/>
  <c r="L38" i="12"/>
  <c r="L37" i="12"/>
  <c r="L41" i="12" s="1"/>
  <c r="W41" i="12" s="1"/>
  <c r="T36" i="12"/>
  <c r="Q36" i="12"/>
  <c r="L35" i="12"/>
  <c r="L34" i="12"/>
  <c r="L33" i="12"/>
  <c r="L32" i="12"/>
  <c r="L36" i="12" s="1"/>
  <c r="W36" i="12" s="1"/>
  <c r="T31" i="12"/>
  <c r="Q31" i="12"/>
  <c r="L30" i="12"/>
  <c r="L29" i="12"/>
  <c r="L31" i="12" s="1"/>
  <c r="W31" i="12" s="1"/>
  <c r="L28" i="12"/>
  <c r="L27" i="12"/>
  <c r="T26" i="12"/>
  <c r="L25" i="12"/>
  <c r="L24" i="12"/>
  <c r="L23" i="12"/>
  <c r="L22" i="12"/>
  <c r="L21" i="12"/>
  <c r="L20" i="12"/>
  <c r="Q26" i="12" s="1"/>
  <c r="L19" i="12"/>
  <c r="T18" i="12"/>
  <c r="L66" i="12" s="1"/>
  <c r="L17" i="12"/>
  <c r="L16" i="12"/>
  <c r="L15" i="12"/>
  <c r="L18" i="12" s="1"/>
  <c r="L14" i="12"/>
  <c r="L129" i="11"/>
  <c r="L130" i="11" s="1"/>
  <c r="L128" i="11"/>
  <c r="L127" i="11"/>
  <c r="L123" i="11"/>
  <c r="L122" i="11"/>
  <c r="L121" i="11"/>
  <c r="L120" i="11"/>
  <c r="L124" i="11" s="1"/>
  <c r="L118" i="11"/>
  <c r="L117" i="11"/>
  <c r="L116" i="11"/>
  <c r="L119" i="11" s="1"/>
  <c r="L115" i="11"/>
  <c r="L113" i="11"/>
  <c r="L112" i="11"/>
  <c r="L111" i="11"/>
  <c r="L114" i="11" s="1"/>
  <c r="L109" i="11"/>
  <c r="L108" i="11"/>
  <c r="L107" i="11"/>
  <c r="L110" i="11" s="1"/>
  <c r="L105" i="11"/>
  <c r="L104" i="11"/>
  <c r="L106" i="11" s="1"/>
  <c r="L103" i="11"/>
  <c r="L101" i="11"/>
  <c r="L100" i="11"/>
  <c r="L99" i="11"/>
  <c r="L102" i="11" s="1"/>
  <c r="L97" i="11"/>
  <c r="L96" i="11"/>
  <c r="L95" i="11"/>
  <c r="L98" i="11" s="1"/>
  <c r="L93" i="11"/>
  <c r="L92" i="11"/>
  <c r="L94" i="11" s="1"/>
  <c r="L91" i="11"/>
  <c r="L89" i="11"/>
  <c r="L88" i="11"/>
  <c r="L87" i="11"/>
  <c r="L86" i="11"/>
  <c r="L90" i="11" s="1"/>
  <c r="L74" i="11"/>
  <c r="L73" i="11"/>
  <c r="L72" i="11"/>
  <c r="L71" i="11"/>
  <c r="L75" i="11" s="1"/>
  <c r="L70" i="11"/>
  <c r="T62" i="11"/>
  <c r="Q62" i="11"/>
  <c r="L61" i="11"/>
  <c r="L60" i="11"/>
  <c r="L59" i="11"/>
  <c r="L58" i="11"/>
  <c r="L62" i="11" s="1"/>
  <c r="W62" i="11" s="1"/>
  <c r="T57" i="11"/>
  <c r="Q57" i="11"/>
  <c r="L56" i="11"/>
  <c r="L55" i="11"/>
  <c r="L54" i="11"/>
  <c r="L57" i="11" s="1"/>
  <c r="W57" i="11" s="1"/>
  <c r="L53" i="11"/>
  <c r="L52" i="11"/>
  <c r="T51" i="11"/>
  <c r="Q51" i="11"/>
  <c r="L50" i="11"/>
  <c r="L49" i="11"/>
  <c r="L48" i="11"/>
  <c r="L47" i="11"/>
  <c r="L51" i="11" s="1"/>
  <c r="W51" i="11" s="1"/>
  <c r="T46" i="11"/>
  <c r="Q46" i="11"/>
  <c r="L45" i="11"/>
  <c r="L44" i="11"/>
  <c r="L43" i="11"/>
  <c r="L42" i="11"/>
  <c r="L46" i="11" s="1"/>
  <c r="W46" i="11" s="1"/>
  <c r="T41" i="11"/>
  <c r="Q41" i="11"/>
  <c r="L40" i="11"/>
  <c r="L39" i="11"/>
  <c r="L41" i="11" s="1"/>
  <c r="W41" i="11" s="1"/>
  <c r="L38" i="11"/>
  <c r="L37" i="11"/>
  <c r="T36" i="11"/>
  <c r="Q36" i="11"/>
  <c r="L35" i="11"/>
  <c r="L34" i="11"/>
  <c r="L33" i="11"/>
  <c r="L32" i="11"/>
  <c r="L36" i="11" s="1"/>
  <c r="W36" i="11" s="1"/>
  <c r="T31" i="11"/>
  <c r="Q31" i="11"/>
  <c r="L30" i="11"/>
  <c r="L29" i="11"/>
  <c r="L28" i="11"/>
  <c r="L27" i="11"/>
  <c r="L31" i="11" s="1"/>
  <c r="W31" i="11" s="1"/>
  <c r="T26" i="11"/>
  <c r="L25" i="11"/>
  <c r="L24" i="11"/>
  <c r="L26" i="11" s="1"/>
  <c r="L23" i="11"/>
  <c r="L22" i="11"/>
  <c r="L21" i="11"/>
  <c r="L20" i="11"/>
  <c r="L19" i="11"/>
  <c r="Q26" i="11" s="1"/>
  <c r="T18" i="11"/>
  <c r="L66" i="11" s="1"/>
  <c r="L17" i="11"/>
  <c r="L16" i="11"/>
  <c r="L15" i="11"/>
  <c r="Q18" i="11" s="1"/>
  <c r="L65" i="11" s="1"/>
  <c r="L14" i="11"/>
  <c r="L129" i="10"/>
  <c r="L128" i="10"/>
  <c r="L127" i="10"/>
  <c r="L130" i="10" s="1"/>
  <c r="L123" i="10"/>
  <c r="L122" i="10"/>
  <c r="L121" i="10"/>
  <c r="L120" i="10"/>
  <c r="L124" i="10" s="1"/>
  <c r="L118" i="10"/>
  <c r="L117" i="10"/>
  <c r="L116" i="10"/>
  <c r="L115" i="10"/>
  <c r="L119" i="10" s="1"/>
  <c r="L113" i="10"/>
  <c r="L112" i="10"/>
  <c r="L111" i="10"/>
  <c r="L114" i="10" s="1"/>
  <c r="L109" i="10"/>
  <c r="L108" i="10"/>
  <c r="L110" i="10" s="1"/>
  <c r="L107" i="10"/>
  <c r="L105" i="10"/>
  <c r="L104" i="10"/>
  <c r="L103" i="10"/>
  <c r="L106" i="10" s="1"/>
  <c r="L101" i="10"/>
  <c r="L100" i="10"/>
  <c r="L99" i="10"/>
  <c r="L102" i="10" s="1"/>
  <c r="L97" i="10"/>
  <c r="L96" i="10"/>
  <c r="L98" i="10" s="1"/>
  <c r="L95" i="10"/>
  <c r="L93" i="10"/>
  <c r="L92" i="10"/>
  <c r="L91" i="10"/>
  <c r="L94" i="10" s="1"/>
  <c r="L89" i="10"/>
  <c r="L88" i="10"/>
  <c r="L87" i="10"/>
  <c r="L86" i="10"/>
  <c r="L90" i="10" s="1"/>
  <c r="L75" i="10"/>
  <c r="L74" i="10"/>
  <c r="L73" i="10"/>
  <c r="L72" i="10"/>
  <c r="L71" i="10"/>
  <c r="L70" i="10"/>
  <c r="T62" i="10"/>
  <c r="Q62" i="10"/>
  <c r="L61" i="10"/>
  <c r="L60" i="10"/>
  <c r="L59" i="10"/>
  <c r="L58" i="10"/>
  <c r="L62" i="10" s="1"/>
  <c r="T57" i="10"/>
  <c r="Q57" i="10"/>
  <c r="L56" i="10"/>
  <c r="L55" i="10"/>
  <c r="L54" i="10"/>
  <c r="L53" i="10"/>
  <c r="L52" i="10"/>
  <c r="L57" i="10" s="1"/>
  <c r="T51" i="10"/>
  <c r="Q51" i="10"/>
  <c r="L50" i="10"/>
  <c r="L49" i="10"/>
  <c r="L51" i="10" s="1"/>
  <c r="L48" i="10"/>
  <c r="L47" i="10"/>
  <c r="T46" i="10"/>
  <c r="Q46" i="10"/>
  <c r="L45" i="10"/>
  <c r="L44" i="10"/>
  <c r="L43" i="10"/>
  <c r="L42" i="10"/>
  <c r="L46" i="10" s="1"/>
  <c r="T41" i="10"/>
  <c r="Q41" i="10"/>
  <c r="L40" i="10"/>
  <c r="L39" i="10"/>
  <c r="L38" i="10"/>
  <c r="L37" i="10"/>
  <c r="L41" i="10" s="1"/>
  <c r="T36" i="10"/>
  <c r="Q36" i="10"/>
  <c r="L35" i="10"/>
  <c r="L34" i="10"/>
  <c r="L36" i="10" s="1"/>
  <c r="L33" i="10"/>
  <c r="L32" i="10"/>
  <c r="T31" i="10"/>
  <c r="Q31" i="10"/>
  <c r="L30" i="10"/>
  <c r="L29" i="10"/>
  <c r="L28" i="10"/>
  <c r="L27" i="10"/>
  <c r="L31" i="10" s="1"/>
  <c r="T26" i="10"/>
  <c r="L25" i="10"/>
  <c r="L24" i="10"/>
  <c r="L23" i="10"/>
  <c r="L22" i="10"/>
  <c r="L21" i="10"/>
  <c r="L20" i="10"/>
  <c r="L19" i="10"/>
  <c r="Q26" i="10" s="1"/>
  <c r="T18" i="10"/>
  <c r="L66" i="10" s="1"/>
  <c r="Q18" i="10"/>
  <c r="L17" i="10"/>
  <c r="L16" i="10"/>
  <c r="L15" i="10"/>
  <c r="L14" i="10"/>
  <c r="L18" i="10" s="1"/>
  <c r="C23" i="9"/>
  <c r="C135" i="14" s="1"/>
  <c r="E11" i="9"/>
  <c r="P67" i="12" s="1"/>
  <c r="C22" i="9" l="1"/>
  <c r="C134" i="14" s="1"/>
  <c r="W62" i="10"/>
  <c r="L126" i="10"/>
  <c r="L131" i="10" s="1"/>
  <c r="L65" i="10"/>
  <c r="W51" i="10"/>
  <c r="C20" i="9"/>
  <c r="C132" i="14" s="1"/>
  <c r="C19" i="9"/>
  <c r="C131" i="14" s="1"/>
  <c r="W46" i="10"/>
  <c r="W57" i="10"/>
  <c r="C21" i="9"/>
  <c r="C133" i="14" s="1"/>
  <c r="C17" i="9"/>
  <c r="C129" i="14" s="1"/>
  <c r="W36" i="10"/>
  <c r="W26" i="11"/>
  <c r="Y62" i="11"/>
  <c r="L64" i="12"/>
  <c r="L76" i="12" s="1"/>
  <c r="W18" i="10"/>
  <c r="L126" i="11"/>
  <c r="L131" i="11" s="1"/>
  <c r="L126" i="12"/>
  <c r="L131" i="12" s="1"/>
  <c r="C16" i="9"/>
  <c r="C128" i="14" s="1"/>
  <c r="W31" i="10"/>
  <c r="W41" i="10"/>
  <c r="C18" i="9"/>
  <c r="C130" i="14" s="1"/>
  <c r="C27" i="9"/>
  <c r="C139" i="14" s="1"/>
  <c r="P67" i="10"/>
  <c r="L26" i="10"/>
  <c r="P67" i="11"/>
  <c r="Q18" i="12"/>
  <c r="L65" i="12" s="1"/>
  <c r="L18" i="11"/>
  <c r="L26" i="12"/>
  <c r="W26" i="10" l="1"/>
  <c r="C15" i="9"/>
  <c r="Y62" i="10"/>
  <c r="Y62" i="12"/>
  <c r="W26" i="12"/>
  <c r="W18" i="11"/>
  <c r="L67" i="11" s="1"/>
  <c r="L68" i="11" s="1"/>
  <c r="L64" i="11"/>
  <c r="L76" i="11" s="1"/>
  <c r="L64" i="10"/>
  <c r="L76" i="10" s="1"/>
  <c r="C14" i="9"/>
  <c r="L69" i="11"/>
  <c r="L67" i="10"/>
  <c r="L68" i="10" s="1"/>
  <c r="W18" i="12"/>
  <c r="C126" i="14" l="1"/>
  <c r="C24" i="9"/>
  <c r="C127" i="14"/>
  <c r="F22" i="9"/>
  <c r="L67" i="12"/>
  <c r="L68" i="12" s="1"/>
  <c r="L69" i="12" s="1"/>
  <c r="L69" i="10"/>
  <c r="C136" i="14" l="1"/>
  <c r="C28" i="9"/>
  <c r="C140" i="14" s="1"/>
  <c r="C25" i="9"/>
  <c r="C137" i="14" s="1"/>
  <c r="C26" i="9" l="1"/>
  <c r="C31" i="9" l="1"/>
  <c r="C138" i="14"/>
  <c r="C30" i="9" l="1"/>
  <c r="C142" i="14"/>
  <c r="C141" i="14" l="1"/>
  <c r="H31" i="1"/>
  <c r="C10"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300-000001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
本事業は「</t>
        </r>
        <r>
          <rPr>
            <sz val="10"/>
            <rFont val="Arial"/>
            <family val="2"/>
          </rPr>
          <t>AI</t>
        </r>
        <r>
          <rPr>
            <sz val="10"/>
            <rFont val="Noto Sans CJK SC"/>
            <family val="2"/>
          </rPr>
          <t>ネイティブ・クリエイター教育」を基軸とし、その専門分野としてバーチャルプロダクション（</t>
        </r>
        <r>
          <rPr>
            <sz val="10"/>
            <rFont val="Arial"/>
            <family val="2"/>
          </rPr>
          <t>VP</t>
        </r>
        <r>
          <rPr>
            <sz val="10"/>
            <rFont val="Noto Sans CJK SC"/>
            <family val="2"/>
          </rPr>
          <t>）を頂点に置く</t>
        </r>
        <r>
          <rPr>
            <sz val="10"/>
            <rFont val="Arial"/>
            <family val="2"/>
          </rPr>
          <t>3</t>
        </r>
        <r>
          <rPr>
            <sz val="10"/>
            <rFont val="Noto Sans CJK SC"/>
            <family val="2"/>
          </rPr>
          <t>階層の体系的育成により、コンテンツ産業を横断して活躍できる中核人材を</t>
        </r>
        <r>
          <rPr>
            <sz val="10"/>
            <rFont val="Arial"/>
            <family val="2"/>
          </rPr>
          <t>3</t>
        </r>
        <r>
          <rPr>
            <sz val="10"/>
            <rFont val="Noto Sans CJK SC"/>
            <family val="2"/>
          </rPr>
          <t>年間で累計</t>
        </r>
        <r>
          <rPr>
            <sz val="10"/>
            <rFont val="Arial"/>
            <family val="2"/>
          </rPr>
          <t>810</t>
        </r>
        <r>
          <rPr>
            <sz val="10"/>
            <rFont val="Noto Sans CJK SC"/>
            <family val="2"/>
          </rPr>
          <t>名育成する。
入門・中級の両層に共通して、映像・アニメ・ゲーム・</t>
        </r>
        <r>
          <rPr>
            <sz val="10"/>
            <rFont val="Arial"/>
            <family val="2"/>
          </rPr>
          <t>3DCG</t>
        </r>
        <r>
          <rPr>
            <sz val="10"/>
            <rFont val="Noto Sans CJK SC"/>
            <family val="2"/>
          </rPr>
          <t>等の各クリエイティブ分野におけるベーシック</t>
        </r>
        <r>
          <rPr>
            <sz val="10"/>
            <rFont val="Arial"/>
            <family val="2"/>
          </rPr>
          <t>AI</t>
        </r>
        <r>
          <rPr>
            <sz val="10"/>
            <rFont val="Noto Sans CJK SC"/>
            <family val="2"/>
          </rPr>
          <t>スキル（生成</t>
        </r>
        <r>
          <rPr>
            <sz val="10"/>
            <rFont val="Arial"/>
            <family val="2"/>
          </rPr>
          <t>AI</t>
        </r>
        <r>
          <rPr>
            <sz val="10"/>
            <rFont val="Noto Sans CJK SC"/>
            <family val="2"/>
          </rPr>
          <t>活用・</t>
        </r>
        <r>
          <rPr>
            <sz val="10"/>
            <rFont val="Arial"/>
            <family val="2"/>
          </rPr>
          <t>AI</t>
        </r>
        <r>
          <rPr>
            <sz val="10"/>
            <rFont val="Noto Sans CJK SC"/>
            <family val="2"/>
          </rPr>
          <t>アシスト制作フロー）を組み込む。
【入門層：企業ゼミ／</t>
        </r>
        <r>
          <rPr>
            <sz val="10"/>
            <rFont val="Arial"/>
            <family val="2"/>
          </rPr>
          <t>600</t>
        </r>
        <r>
          <rPr>
            <sz val="10"/>
            <rFont val="Noto Sans CJK SC"/>
            <family val="2"/>
          </rPr>
          <t>名】ベネッセ</t>
        </r>
        <r>
          <rPr>
            <sz val="10"/>
            <rFont val="Arial"/>
            <family val="2"/>
          </rPr>
          <t>AI</t>
        </r>
        <r>
          <rPr>
            <sz val="10"/>
            <rFont val="Noto Sans CJK SC"/>
            <family val="2"/>
          </rPr>
          <t>教育研究所</t>
        </r>
        <r>
          <rPr>
            <sz val="10"/>
            <rFont val="Arial"/>
            <family val="2"/>
          </rPr>
          <t>×</t>
        </r>
        <r>
          <rPr>
            <sz val="10"/>
            <rFont val="Noto Sans CJK SC"/>
            <family val="2"/>
          </rPr>
          <t>デジタルハリウッド大学共催ゼミ。</t>
        </r>
        <r>
          <rPr>
            <sz val="10"/>
            <rFont val="Arial"/>
            <family val="2"/>
          </rPr>
          <t>AI</t>
        </r>
        <r>
          <rPr>
            <sz val="10"/>
            <rFont val="Noto Sans CJK SC"/>
            <family val="2"/>
          </rPr>
          <t>ネイティブな制作思考・ツール基礎習得を行い、他業種・他職種からの流入も広く受け入れ人材基盤を形成する。
【中級層：クリエイティブ分野別ゼミ／</t>
        </r>
        <r>
          <rPr>
            <sz val="10"/>
            <rFont val="Arial"/>
            <family val="2"/>
          </rPr>
          <t>150</t>
        </r>
        <r>
          <rPr>
            <sz val="10"/>
            <rFont val="Noto Sans CJK SC"/>
            <family val="2"/>
          </rPr>
          <t>名】各クリエイティブ分野の専門スキルと</t>
        </r>
        <r>
          <rPr>
            <sz val="10"/>
            <rFont val="Arial"/>
            <family val="2"/>
          </rPr>
          <t>AI</t>
        </r>
        <r>
          <rPr>
            <sz val="10"/>
            <rFont val="Noto Sans CJK SC"/>
            <family val="2"/>
          </rPr>
          <t>ワークフローを統合した実践教育。分野別の深化と横断的</t>
        </r>
        <r>
          <rPr>
            <sz val="10"/>
            <rFont val="Arial"/>
            <family val="2"/>
          </rPr>
          <t>AI</t>
        </r>
        <r>
          <rPr>
            <sz val="10"/>
            <rFont val="Noto Sans CJK SC"/>
            <family val="2"/>
          </rPr>
          <t>スキルを両立する。
【上級層：</t>
        </r>
        <r>
          <rPr>
            <sz val="10"/>
            <rFont val="Arial"/>
            <family val="2"/>
          </rPr>
          <t>VP</t>
        </r>
        <r>
          <rPr>
            <sz val="10"/>
            <rFont val="Noto Sans CJK SC"/>
            <family val="2"/>
          </rPr>
          <t>専門プログラム／</t>
        </r>
        <r>
          <rPr>
            <sz val="10"/>
            <rFont val="Arial"/>
            <family val="2"/>
          </rPr>
          <t>60</t>
        </r>
        <r>
          <rPr>
            <sz val="10"/>
            <rFont val="Noto Sans CJK SC"/>
            <family val="2"/>
          </rPr>
          <t>名】</t>
        </r>
        <r>
          <rPr>
            <sz val="10"/>
            <rFont val="Arial"/>
            <family val="2"/>
          </rPr>
          <t>LED</t>
        </r>
        <r>
          <rPr>
            <sz val="10"/>
            <rFont val="Noto Sans CJK SC"/>
            <family val="2"/>
          </rPr>
          <t>ウォール・</t>
        </r>
        <r>
          <rPr>
            <sz val="10"/>
            <rFont val="Arial"/>
            <family val="2"/>
          </rPr>
          <t>Unreal Engine</t>
        </r>
        <r>
          <rPr>
            <sz val="10"/>
            <rFont val="Noto Sans CJK SC"/>
            <family val="2"/>
          </rPr>
          <t>・国際</t>
        </r>
        <r>
          <rPr>
            <sz val="10"/>
            <rFont val="Arial"/>
            <family val="2"/>
          </rPr>
          <t>VFX</t>
        </r>
        <r>
          <rPr>
            <sz val="10"/>
            <rFont val="Noto Sans CJK SC"/>
            <family val="2"/>
          </rPr>
          <t>教授陣による</t>
        </r>
        <r>
          <rPr>
            <sz val="10"/>
            <rFont val="Arial"/>
            <family val="2"/>
          </rPr>
          <t>Framestore</t>
        </r>
        <r>
          <rPr>
            <sz val="10"/>
            <rFont val="Noto Sans CJK SC"/>
            <family val="2"/>
          </rPr>
          <t>流</t>
        </r>
        <r>
          <rPr>
            <sz val="10"/>
            <rFont val="Arial"/>
            <family val="2"/>
          </rPr>
          <t>VP</t>
        </r>
        <r>
          <rPr>
            <sz val="10"/>
            <rFont val="Noto Sans CJK SC"/>
            <family val="2"/>
          </rPr>
          <t>統合ワークフローを習得し、高度専門人材を育成する。
ベネッセ</t>
        </r>
        <r>
          <rPr>
            <sz val="10"/>
            <rFont val="Arial"/>
            <family val="2"/>
          </rPr>
          <t>AI</t>
        </r>
        <r>
          <rPr>
            <sz val="10"/>
            <rFont val="Noto Sans CJK SC"/>
            <family val="2"/>
          </rPr>
          <t>教育研究所が</t>
        </r>
        <r>
          <rPr>
            <sz val="10"/>
            <rFont val="Arial"/>
            <family val="2"/>
          </rPr>
          <t>EBPM</t>
        </r>
        <r>
          <rPr>
            <sz val="10"/>
            <rFont val="Noto Sans CJK SC"/>
            <family val="2"/>
          </rPr>
          <t>評価と全国教育機関への展開を担う。</t>
        </r>
      </text>
    </comment>
    <comment ref="B7" authorId="0" shapeId="0" xr:uid="{00000000-0006-0000-0300-000002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【修正提案】
「</t>
        </r>
        <r>
          <rPr>
            <sz val="10"/>
            <rFont val="Arial"/>
            <family val="2"/>
          </rPr>
          <t>VFX-JAPAN</t>
        </r>
        <r>
          <rPr>
            <sz val="10"/>
            <rFont val="Noto Sans CJK SC"/>
            <family val="2"/>
          </rPr>
          <t>等）・関係省庁」→表紙修正で</t>
        </r>
        <r>
          <rPr>
            <sz val="10"/>
            <rFont val="Arial"/>
            <family val="2"/>
          </rPr>
          <t>VFX-JAPAN</t>
        </r>
        <r>
          <rPr>
            <sz val="10"/>
            <rFont val="Noto Sans CJK SC"/>
            <family val="2"/>
          </rPr>
          <t>等を削除した方針と整合させること。
例：「業界団体（</t>
        </r>
        <r>
          <rPr>
            <sz val="10"/>
            <rFont val="Arial"/>
            <family val="2"/>
          </rPr>
          <t>CESA</t>
        </r>
        <r>
          <rPr>
            <sz val="10"/>
            <rFont val="Noto Sans CJK SC"/>
            <family val="2"/>
          </rPr>
          <t>等）・関係省庁（経済産業省・文化庁・内閣府）」
「修了生が〜活躍してきた」→「卒業生・修了生が」に統一。</t>
        </r>
      </text>
    </comment>
    <comment ref="B11" authorId="0" shapeId="0" xr:uid="{00000000-0006-0000-0300-000003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【修正提案】
「映像（実写映画及びアニメーション映画）」→表紙</t>
        </r>
        <r>
          <rPr>
            <sz val="10"/>
            <rFont val="Arial"/>
            <family val="2"/>
          </rPr>
          <t>H29</t>
        </r>
        <r>
          <rPr>
            <sz val="10"/>
            <rFont val="Noto Sans CJK SC"/>
            <family val="2"/>
          </rPr>
          <t>の変更（「映像」に短縮）と方向性を確認。
観点①の列挙が公募要領の文言まま。自校の対象職種（</t>
        </r>
        <r>
          <rPr>
            <sz val="10"/>
            <rFont val="Arial"/>
            <family val="2"/>
          </rPr>
          <t>3DCG</t>
        </r>
        <r>
          <rPr>
            <sz val="10"/>
            <rFont val="Noto Sans CJK SC"/>
            <family val="2"/>
          </rPr>
          <t>クリエイター・</t>
        </r>
        <r>
          <rPr>
            <sz val="10"/>
            <rFont val="Arial"/>
            <family val="2"/>
          </rPr>
          <t>VFX</t>
        </r>
        <r>
          <rPr>
            <sz val="10"/>
            <rFont val="Noto Sans CJK SC"/>
            <family val="2"/>
          </rPr>
          <t>クリエイター・</t>
        </r>
        <r>
          <rPr>
            <sz val="10"/>
            <rFont val="Arial"/>
            <family val="2"/>
          </rPr>
          <t>VP</t>
        </r>
        <r>
          <rPr>
            <sz val="10"/>
            <rFont val="Noto Sans CJK SC"/>
            <family val="2"/>
          </rPr>
          <t>スーパーバイザー等）との対応を明示する注釈を</t>
        </r>
        <r>
          <rPr>
            <sz val="10"/>
            <rFont val="Arial"/>
            <family val="2"/>
          </rPr>
          <t>B14</t>
        </r>
        <r>
          <rPr>
            <sz val="10"/>
            <rFont val="Noto Sans CJK SC"/>
            <family val="2"/>
          </rPr>
          <t>に移し、この行は要領の原文を維持する方が無難。</t>
        </r>
      </text>
    </comment>
    <comment ref="B14" authorId="0" shapeId="0" xr:uid="{00000000-0006-0000-0300-000004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【修正文案（観点①対応）】
本事業は「</t>
        </r>
        <r>
          <rPr>
            <sz val="10"/>
            <rFont val="Arial"/>
            <family val="2"/>
          </rPr>
          <t>AI</t>
        </r>
        <r>
          <rPr>
            <sz val="10"/>
            <rFont val="Noto Sans CJK SC"/>
            <family val="2"/>
          </rPr>
          <t>ネイティブ・クリエイター教育」を上位概念とし、</t>
        </r>
        <r>
          <rPr>
            <sz val="10"/>
            <rFont val="Arial"/>
            <family val="2"/>
          </rPr>
          <t>3</t>
        </r>
        <r>
          <rPr>
            <sz val="10"/>
            <rFont val="Noto Sans CJK SC"/>
            <family val="2"/>
          </rPr>
          <t>階層で中核人材を育成する。入門・中級の両層には映像・アニメ・ゲーム・</t>
        </r>
        <r>
          <rPr>
            <sz val="10"/>
            <rFont val="Arial"/>
            <family val="2"/>
          </rPr>
          <t>3DCG</t>
        </r>
        <r>
          <rPr>
            <sz val="10"/>
            <rFont val="Noto Sans CJK SC"/>
            <family val="2"/>
          </rPr>
          <t>等、各クリエイティブ分野のベーシック</t>
        </r>
        <r>
          <rPr>
            <sz val="10"/>
            <rFont val="Arial"/>
            <family val="2"/>
          </rPr>
          <t>AI</t>
        </r>
        <r>
          <rPr>
            <sz val="10"/>
            <rFont val="Noto Sans CJK SC"/>
            <family val="2"/>
          </rPr>
          <t>スキル（生成</t>
        </r>
        <r>
          <rPr>
            <sz val="10"/>
            <rFont val="Arial"/>
            <family val="2"/>
          </rPr>
          <t>AI</t>
        </r>
        <r>
          <rPr>
            <sz val="10"/>
            <rFont val="Noto Sans CJK SC"/>
            <family val="2"/>
          </rPr>
          <t>活用・</t>
        </r>
        <r>
          <rPr>
            <sz val="10"/>
            <rFont val="Arial"/>
            <family val="2"/>
          </rPr>
          <t>AI</t>
        </r>
        <r>
          <rPr>
            <sz val="10"/>
            <rFont val="Noto Sans CJK SC"/>
            <family val="2"/>
          </rPr>
          <t>アシスト制作フロー）を共通要素として組み込む。
▼入門層（企業ゼミ／</t>
        </r>
        <r>
          <rPr>
            <sz val="10"/>
            <rFont val="Arial"/>
            <family val="2"/>
          </rPr>
          <t>600</t>
        </r>
        <r>
          <rPr>
            <sz val="10"/>
            <rFont val="Noto Sans CJK SC"/>
            <family val="2"/>
          </rPr>
          <t>名）
ベネッセ</t>
        </r>
        <r>
          <rPr>
            <sz val="10"/>
            <rFont val="Arial"/>
            <family val="2"/>
          </rPr>
          <t>AI</t>
        </r>
        <r>
          <rPr>
            <sz val="10"/>
            <rFont val="Noto Sans CJK SC"/>
            <family val="2"/>
          </rPr>
          <t>教育研究所</t>
        </r>
        <r>
          <rPr>
            <sz val="10"/>
            <rFont val="Arial"/>
            <family val="2"/>
          </rPr>
          <t>×</t>
        </r>
        <r>
          <rPr>
            <sz val="10"/>
            <rFont val="Noto Sans CJK SC"/>
            <family val="2"/>
          </rPr>
          <t>デジタルハリウッド大学共催ゼミ。生成</t>
        </r>
        <r>
          <rPr>
            <sz val="10"/>
            <rFont val="Arial"/>
            <family val="2"/>
          </rPr>
          <t>AI</t>
        </r>
        <r>
          <rPr>
            <sz val="10"/>
            <rFont val="Noto Sans CJK SC"/>
            <family val="2"/>
          </rPr>
          <t>ツール（</t>
        </r>
        <r>
          <rPr>
            <sz val="10"/>
            <rFont val="Arial"/>
            <family val="2"/>
          </rPr>
          <t>Claude</t>
        </r>
        <r>
          <rPr>
            <sz val="10"/>
            <rFont val="Noto Sans CJK SC"/>
            <family val="2"/>
          </rPr>
          <t>等）・</t>
        </r>
        <r>
          <rPr>
            <sz val="10"/>
            <rFont val="Arial"/>
            <family val="2"/>
          </rPr>
          <t>Adobe/Figma/Canva</t>
        </r>
        <r>
          <rPr>
            <sz val="10"/>
            <rFont val="Noto Sans CJK SC"/>
            <family val="2"/>
          </rPr>
          <t>等の業界標準ツール基礎と、各クリエイティブ分野のベーシック</t>
        </r>
        <r>
          <rPr>
            <sz val="10"/>
            <rFont val="Arial"/>
            <family val="2"/>
          </rPr>
          <t>AI</t>
        </r>
        <r>
          <rPr>
            <sz val="10"/>
            <rFont val="Noto Sans CJK SC"/>
            <family val="2"/>
          </rPr>
          <t>スキルを習得。他業種・他職種からの流入も受け入れる。
▼中級層（クリエイティブ分野別ゼミ／</t>
        </r>
        <r>
          <rPr>
            <sz val="10"/>
            <rFont val="Arial"/>
            <family val="2"/>
          </rPr>
          <t>150</t>
        </r>
        <r>
          <rPr>
            <sz val="10"/>
            <rFont val="Noto Sans CJK SC"/>
            <family val="2"/>
          </rPr>
          <t>名）
映像・アニメ・ゲーム・</t>
        </r>
        <r>
          <rPr>
            <sz val="10"/>
            <rFont val="Arial"/>
            <family val="2"/>
          </rPr>
          <t>3DCG</t>
        </r>
        <r>
          <rPr>
            <sz val="10"/>
            <rFont val="Noto Sans CJK SC"/>
            <family val="2"/>
          </rPr>
          <t>等の分野別ゼミにて、各クリエイティブ領域のベーシック</t>
        </r>
        <r>
          <rPr>
            <sz val="10"/>
            <rFont val="Arial"/>
            <family val="2"/>
          </rPr>
          <t>AI</t>
        </r>
        <r>
          <rPr>
            <sz val="10"/>
            <rFont val="Noto Sans CJK SC"/>
            <family val="2"/>
          </rPr>
          <t>スキルをさらに深化させつつ、専門制作技術と統合。①</t>
        </r>
        <r>
          <rPr>
            <sz val="10"/>
            <rFont val="Arial"/>
            <family val="2"/>
          </rPr>
          <t>3DCG</t>
        </r>
        <r>
          <rPr>
            <sz val="10"/>
            <rFont val="Noto Sans CJK SC"/>
            <family val="2"/>
          </rPr>
          <t>クリエイター、②</t>
        </r>
        <r>
          <rPr>
            <sz val="10"/>
            <rFont val="Arial"/>
            <family val="2"/>
          </rPr>
          <t>VFX</t>
        </r>
        <r>
          <rPr>
            <sz val="10"/>
            <rFont val="Noto Sans CJK SC"/>
            <family val="2"/>
          </rPr>
          <t>クリエイター（マルチスキル型）を主な育成対象とする。
▼上級層（</t>
        </r>
        <r>
          <rPr>
            <sz val="10"/>
            <rFont val="Arial"/>
            <family val="2"/>
          </rPr>
          <t>VP</t>
        </r>
        <r>
          <rPr>
            <sz val="10"/>
            <rFont val="Noto Sans CJK SC"/>
            <family val="2"/>
          </rPr>
          <t>専門プログラム／</t>
        </r>
        <r>
          <rPr>
            <sz val="10"/>
            <rFont val="Arial"/>
            <family val="2"/>
          </rPr>
          <t>60</t>
        </r>
        <r>
          <rPr>
            <sz val="10"/>
            <rFont val="Noto Sans CJK SC"/>
            <family val="2"/>
          </rPr>
          <t xml:space="preserve">名）
</t>
        </r>
        <r>
          <rPr>
            <sz val="10"/>
            <rFont val="Arial"/>
            <family val="2"/>
          </rPr>
          <t>LED</t>
        </r>
        <r>
          <rPr>
            <sz val="10"/>
            <rFont val="Noto Sans CJK SC"/>
            <family val="2"/>
          </rPr>
          <t>ウォール・</t>
        </r>
        <r>
          <rPr>
            <sz val="10"/>
            <rFont val="Arial"/>
            <family val="2"/>
          </rPr>
          <t>Unreal Engine</t>
        </r>
        <r>
          <rPr>
            <sz val="10"/>
            <rFont val="Noto Sans CJK SC"/>
            <family val="2"/>
          </rPr>
          <t>・エカート教授（元</t>
        </r>
        <r>
          <rPr>
            <sz val="10"/>
            <rFont val="Arial"/>
            <family val="2"/>
          </rPr>
          <t>Framestore Los Angeles</t>
        </r>
        <r>
          <rPr>
            <sz val="10"/>
            <rFont val="Noto Sans CJK SC"/>
            <family val="2"/>
          </rPr>
          <t>設立メンバー）による</t>
        </r>
        <r>
          <rPr>
            <sz val="10"/>
            <rFont val="Arial"/>
            <family val="2"/>
          </rPr>
          <t>Framestore</t>
        </r>
        <r>
          <rPr>
            <sz val="10"/>
            <rFont val="Noto Sans CJK SC"/>
            <family val="2"/>
          </rPr>
          <t>流ワークフロー継承。③</t>
        </r>
        <r>
          <rPr>
            <sz val="10"/>
            <rFont val="Arial"/>
            <family val="2"/>
          </rPr>
          <t>VP</t>
        </r>
        <r>
          <rPr>
            <sz val="10"/>
            <rFont val="Noto Sans CJK SC"/>
            <family val="2"/>
          </rPr>
          <t>スーパーバイザー、④バーチャルアートディレクター、⑤</t>
        </r>
        <r>
          <rPr>
            <sz val="10"/>
            <rFont val="Arial"/>
            <family val="2"/>
          </rPr>
          <t>AI</t>
        </r>
        <r>
          <rPr>
            <sz val="10"/>
            <rFont val="Noto Sans CJK SC"/>
            <family val="2"/>
          </rPr>
          <t>制作パイプラインエンジニアを育成。
ベネッセ</t>
        </r>
        <r>
          <rPr>
            <sz val="10"/>
            <rFont val="Arial"/>
            <family val="2"/>
          </rPr>
          <t>AI</t>
        </r>
        <r>
          <rPr>
            <sz val="10"/>
            <rFont val="Noto Sans CJK SC"/>
            <family val="2"/>
          </rPr>
          <t>教育研究所による業界マッチング・</t>
        </r>
        <r>
          <rPr>
            <sz val="10"/>
            <rFont val="Arial"/>
            <family val="2"/>
          </rPr>
          <t>3</t>
        </r>
        <r>
          <rPr>
            <sz val="10"/>
            <rFont val="Noto Sans CJK SC"/>
            <family val="2"/>
          </rPr>
          <t>年継続追跡を全層に適用し、</t>
        </r>
        <r>
          <rPr>
            <sz val="10"/>
            <rFont val="Arial"/>
            <family val="2"/>
          </rPr>
          <t>4</t>
        </r>
        <r>
          <rPr>
            <sz val="10"/>
            <rFont val="Noto Sans CJK SC"/>
            <family val="2"/>
          </rPr>
          <t>観点すべてを充足する。</t>
        </r>
      </text>
    </comment>
    <comment ref="B17" authorId="0" shapeId="0" xr:uid="{00000000-0006-0000-0300-000005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【修正文案（観点②対応）】
本学はデジタルハリウッド創設以来</t>
        </r>
        <r>
          <rPr>
            <sz val="10"/>
            <rFont val="Arial"/>
            <family val="2"/>
          </rPr>
          <t>30</t>
        </r>
        <r>
          <rPr>
            <sz val="10"/>
            <rFont val="Noto Sans CJK SC"/>
            <family val="2"/>
          </rPr>
          <t>年、累計</t>
        </r>
        <r>
          <rPr>
            <sz val="10"/>
            <rFont val="Arial"/>
            <family val="2"/>
          </rPr>
          <t>9</t>
        </r>
        <r>
          <rPr>
            <sz val="10"/>
            <rFont val="Noto Sans CJK SC"/>
            <family val="2"/>
          </rPr>
          <t>万人以上の卒業生・修了生を輩出し、映像・アニメ・ゲーム・</t>
        </r>
        <r>
          <rPr>
            <sz val="10"/>
            <rFont val="Arial"/>
            <family val="2"/>
          </rPr>
          <t>VFX</t>
        </r>
        <r>
          <rPr>
            <sz val="10"/>
            <rFont val="Noto Sans CJK SC"/>
            <family val="2"/>
          </rPr>
          <t>・</t>
        </r>
        <r>
          <rPr>
            <sz val="10"/>
            <rFont val="Arial"/>
            <family val="2"/>
          </rPr>
          <t>CG</t>
        </r>
        <r>
          <rPr>
            <sz val="10"/>
            <rFont val="Noto Sans CJK SC"/>
            <family val="2"/>
          </rPr>
          <t>等の各産業で第一線が活躍してきた実績を有する。
本事業では「入門→中上級」の段階的接続により、単一主体に閉じない就業・定着基盤を構築する。入門層は企業ゼミ（ベネッセ</t>
        </r>
        <r>
          <rPr>
            <sz val="10"/>
            <rFont val="Arial"/>
            <family val="2"/>
          </rPr>
          <t>AI</t>
        </r>
        <r>
          <rPr>
            <sz val="10"/>
            <rFont val="Noto Sans CJK SC"/>
            <family val="2"/>
          </rPr>
          <t>教育研究所</t>
        </r>
        <r>
          <rPr>
            <sz val="10"/>
            <rFont val="Arial"/>
            <family val="2"/>
          </rPr>
          <t>×</t>
        </r>
        <r>
          <rPr>
            <sz val="10"/>
            <rFont val="Noto Sans CJK SC"/>
            <family val="2"/>
          </rPr>
          <t>デジタルハリウッド大学共催）として門戸を広く開き、他業種・他職種からの流入を促進する。中上級層では</t>
        </r>
        <r>
          <rPr>
            <sz val="10"/>
            <rFont val="Arial"/>
            <family val="2"/>
          </rPr>
          <t>VP</t>
        </r>
        <r>
          <rPr>
            <sz val="10"/>
            <rFont val="Noto Sans CJK SC"/>
            <family val="2"/>
          </rPr>
          <t>制作の実践を通じ、業界横断的な</t>
        </r>
        <r>
          <rPr>
            <sz val="10"/>
            <rFont val="Arial"/>
            <family val="2"/>
          </rPr>
          <t>5</t>
        </r>
        <r>
          <rPr>
            <sz val="10"/>
            <rFont val="Noto Sans CJK SC"/>
            <family val="2"/>
          </rPr>
          <t>領域（映像</t>
        </r>
        <r>
          <rPr>
            <sz val="10"/>
            <rFont val="Arial"/>
            <family val="2"/>
          </rPr>
          <t>/</t>
        </r>
        <r>
          <rPr>
            <sz val="10"/>
            <rFont val="Noto Sans CJK SC"/>
            <family val="2"/>
          </rPr>
          <t>アニメ</t>
        </r>
        <r>
          <rPr>
            <sz val="10"/>
            <rFont val="Arial"/>
            <family val="2"/>
          </rPr>
          <t>/</t>
        </r>
        <r>
          <rPr>
            <sz val="10"/>
            <rFont val="Noto Sans CJK SC"/>
            <family val="2"/>
          </rPr>
          <t>ゲーム</t>
        </r>
        <r>
          <rPr>
            <sz val="10"/>
            <rFont val="Arial"/>
            <family val="2"/>
          </rPr>
          <t>/AI</t>
        </r>
        <r>
          <rPr>
            <sz val="10"/>
            <rFont val="Noto Sans CJK SC"/>
            <family val="2"/>
          </rPr>
          <t>制作</t>
        </r>
        <r>
          <rPr>
            <sz val="10"/>
            <rFont val="Arial"/>
            <family val="2"/>
          </rPr>
          <t>/XR</t>
        </r>
        <r>
          <rPr>
            <sz val="10"/>
            <rFont val="Noto Sans CJK SC"/>
            <family val="2"/>
          </rPr>
          <t>）の企業群との</t>
        </r>
        <r>
          <rPr>
            <sz val="10"/>
            <rFont val="Arial"/>
            <family val="2"/>
          </rPr>
          <t>OJT</t>
        </r>
        <r>
          <rPr>
            <sz val="10"/>
            <rFont val="Noto Sans CJK SC"/>
            <family val="2"/>
          </rPr>
          <t>・インターンシップ・実制作指導連携によって就業先の選択肢を多様化する。
ベネッセ</t>
        </r>
        <r>
          <rPr>
            <sz val="10"/>
            <rFont val="Arial"/>
            <family val="2"/>
          </rPr>
          <t>AI</t>
        </r>
        <r>
          <rPr>
            <sz val="10"/>
            <rFont val="Noto Sans CJK SC"/>
            <family val="2"/>
          </rPr>
          <t>教育研究所が卒業生・修了生の</t>
        </r>
        <r>
          <rPr>
            <sz val="10"/>
            <rFont val="Arial"/>
            <family val="2"/>
          </rPr>
          <t>3</t>
        </r>
        <r>
          <rPr>
            <sz val="10"/>
            <rFont val="Noto Sans CJK SC"/>
            <family val="2"/>
          </rPr>
          <t>年継続追跡（産業横断的就業状況・継続従事率）を担い、業界就業率</t>
        </r>
        <r>
          <rPr>
            <sz val="10"/>
            <rFont val="Arial"/>
            <family val="2"/>
          </rPr>
          <t>70%</t>
        </r>
        <r>
          <rPr>
            <sz val="10"/>
            <rFont val="Noto Sans CJK SC"/>
            <family val="2"/>
          </rPr>
          <t>以上・修了後</t>
        </r>
        <r>
          <rPr>
            <sz val="10"/>
            <rFont val="Arial"/>
            <family val="2"/>
          </rPr>
          <t>3</t>
        </r>
        <r>
          <rPr>
            <sz val="10"/>
            <rFont val="Noto Sans CJK SC"/>
            <family val="2"/>
          </rPr>
          <t>年継続従事率</t>
        </r>
        <r>
          <rPr>
            <sz val="10"/>
            <rFont val="Arial"/>
            <family val="2"/>
          </rPr>
          <t>80%</t>
        </r>
        <r>
          <rPr>
            <sz val="10"/>
            <rFont val="Noto Sans CJK SC"/>
            <family val="2"/>
          </rPr>
          <t>以上を目標とする。フリーランス契約適正化研修・業界標準コンピテンシーモデル策定により定着の質的基盤を整備し、事業終了後は</t>
        </r>
        <r>
          <rPr>
            <sz val="10"/>
            <rFont val="Arial"/>
            <family val="2"/>
          </rPr>
          <t>Train the Trainer</t>
        </r>
        <r>
          <rPr>
            <sz val="10"/>
            <rFont val="Noto Sans CJK SC"/>
            <family val="2"/>
          </rPr>
          <t>による指導者</t>
        </r>
        <r>
          <rPr>
            <sz val="10"/>
            <rFont val="Arial"/>
            <family val="2"/>
          </rPr>
          <t>150</t>
        </r>
        <r>
          <rPr>
            <sz val="10"/>
            <rFont val="Noto Sans CJK SC"/>
            <family val="2"/>
          </rPr>
          <t>名育成と修了生コミュニティ運営により自走可能な構造を確立する。</t>
        </r>
      </text>
    </comment>
    <comment ref="B20" authorId="0" shapeId="0" xr:uid="{00000000-0006-0000-0300-000006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【修正提案】
①「経産省『エンタメ・クリエイティブ産業戦略』（</t>
        </r>
        <r>
          <rPr>
            <sz val="10"/>
            <rFont val="Arial"/>
            <family val="2"/>
          </rPr>
          <t>2025</t>
        </r>
        <r>
          <rPr>
            <sz val="10"/>
            <rFont val="Noto Sans CJK SC"/>
            <family val="2"/>
          </rPr>
          <t>年</t>
        </r>
        <r>
          <rPr>
            <sz val="10"/>
            <rFont val="Arial"/>
            <family val="2"/>
          </rPr>
          <t>6</t>
        </r>
        <r>
          <rPr>
            <sz val="10"/>
            <rFont val="Noto Sans CJK SC"/>
            <family val="2"/>
          </rPr>
          <t>月）」
→策定年月と出典</t>
        </r>
        <r>
          <rPr>
            <sz val="10"/>
            <rFont val="Arial"/>
            <family val="2"/>
          </rPr>
          <t>URL</t>
        </r>
        <r>
          <rPr>
            <sz val="10"/>
            <rFont val="Noto Sans CJK SC"/>
            <family val="2"/>
          </rPr>
          <t>を別添資料で確保。</t>
        </r>
        <r>
          <rPr>
            <sz val="10"/>
            <rFont val="Arial"/>
            <family val="2"/>
          </rPr>
          <t>2025</t>
        </r>
        <r>
          <rPr>
            <sz val="10"/>
            <rFont val="Noto Sans CJK SC"/>
            <family val="2"/>
          </rPr>
          <t>年</t>
        </r>
        <r>
          <rPr>
            <sz val="10"/>
            <rFont val="Arial"/>
            <family val="2"/>
          </rPr>
          <t>6</t>
        </r>
        <r>
          <rPr>
            <sz val="10"/>
            <rFont val="Noto Sans CJK SC"/>
            <family val="2"/>
          </rPr>
          <t>月は現在（</t>
        </r>
        <r>
          <rPr>
            <sz val="10"/>
            <rFont val="Arial"/>
            <family val="2"/>
          </rPr>
          <t>2026</t>
        </r>
        <r>
          <rPr>
            <sz val="10"/>
            <rFont val="Noto Sans CJK SC"/>
            <family val="2"/>
          </rPr>
          <t>年</t>
        </r>
        <r>
          <rPr>
            <sz val="10"/>
            <rFont val="Arial"/>
            <family val="2"/>
          </rPr>
          <t>5</t>
        </r>
        <r>
          <rPr>
            <sz val="10"/>
            <rFont val="Noto Sans CJK SC"/>
            <family val="2"/>
          </rPr>
          <t>月）から約</t>
        </r>
        <r>
          <rPr>
            <sz val="10"/>
            <rFont val="Arial"/>
            <family val="2"/>
          </rPr>
          <t>1</t>
        </r>
        <r>
          <rPr>
            <sz val="10"/>
            <rFont val="Noto Sans CJK SC"/>
            <family val="2"/>
          </rPr>
          <t>年前。最新版の確認を。
②「帝国データバンク『アニメ制作市場動向調査</t>
        </r>
        <r>
          <rPr>
            <sz val="10"/>
            <rFont val="Arial"/>
            <family val="2"/>
          </rPr>
          <t>2025</t>
        </r>
        <r>
          <rPr>
            <sz val="10"/>
            <rFont val="Noto Sans CJK SC"/>
            <family val="2"/>
          </rPr>
          <t>』」
→正式資料名と公表</t>
        </r>
        <r>
          <rPr>
            <sz val="10"/>
            <rFont val="Arial"/>
            <family val="2"/>
          </rPr>
          <t>URL/</t>
        </r>
        <r>
          <rPr>
            <sz val="10"/>
            <rFont val="Noto Sans CJK SC"/>
            <family val="2"/>
          </rPr>
          <t>入手経路を記録しておくこと（審査時の出典確認リスク）。
③</t>
        </r>
        <r>
          <rPr>
            <sz val="10"/>
            <rFont val="Arial"/>
            <family val="2"/>
          </rPr>
          <t>VP</t>
        </r>
        <r>
          <rPr>
            <sz val="10"/>
            <rFont val="Noto Sans CJK SC"/>
            <family val="2"/>
          </rPr>
          <t>人材不足の定量根拠：「デロイト分析でも</t>
        </r>
        <r>
          <rPr>
            <sz val="10"/>
            <rFont val="Arial"/>
            <family val="2"/>
          </rPr>
          <t>VP</t>
        </r>
        <r>
          <rPr>
            <sz val="10"/>
            <rFont val="Noto Sans CJK SC"/>
            <family val="2"/>
          </rPr>
          <t>人材が不足」は定性的。可能であれば不足数・需要数を数字で示す。
④本事業が</t>
        </r>
        <r>
          <rPr>
            <sz val="10"/>
            <rFont val="Arial"/>
            <family val="2"/>
          </rPr>
          <t>VP</t>
        </r>
        <r>
          <rPr>
            <sz val="10"/>
            <rFont val="Noto Sans CJK SC"/>
            <family val="2"/>
          </rPr>
          <t>特化資料である旨を宣言する方針（</t>
        </r>
        <r>
          <rPr>
            <sz val="10"/>
            <rFont val="Arial"/>
            <family val="2"/>
          </rPr>
          <t>P5</t>
        </r>
        <r>
          <rPr>
            <sz val="10"/>
            <rFont val="Noto Sans CJK SC"/>
            <family val="2"/>
          </rPr>
          <t>修正）と整合させ、</t>
        </r>
        <r>
          <rPr>
            <sz val="10"/>
            <rFont val="Arial"/>
            <family val="2"/>
          </rPr>
          <t>VP</t>
        </r>
        <r>
          <rPr>
            <sz val="10"/>
            <rFont val="Noto Sans CJK SC"/>
            <family val="2"/>
          </rPr>
          <t>人材不足のデータをもう少し前面に出すと良い。</t>
        </r>
      </text>
    </comment>
    <comment ref="B23" authorId="0" shapeId="0" xr:uid="{00000000-0006-0000-0300-000007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【修正提案】
①「</t>
        </r>
        <r>
          <rPr>
            <sz val="10"/>
            <rFont val="Arial"/>
            <family val="2"/>
          </rPr>
          <t>VFX-JAPAN</t>
        </r>
        <r>
          <rPr>
            <sz val="10"/>
            <rFont val="Noto Sans CJK SC"/>
            <family val="2"/>
          </rPr>
          <t>」
→</t>
        </r>
        <r>
          <rPr>
            <sz val="10"/>
            <rFont val="Arial"/>
            <family val="2"/>
          </rPr>
          <t>B7</t>
        </r>
        <r>
          <rPr>
            <sz val="10"/>
            <rFont val="Noto Sans CJK SC"/>
            <family val="2"/>
          </rPr>
          <t>・表紙と同様、</t>
        </r>
        <r>
          <rPr>
            <sz val="10"/>
            <rFont val="Arial"/>
            <family val="2"/>
          </rPr>
          <t>VFX-JAMA</t>
        </r>
        <r>
          <rPr>
            <sz val="10"/>
            <rFont val="Noto Sans CJK SC"/>
            <family val="2"/>
          </rPr>
          <t>の記載を削除または「業界団体（</t>
        </r>
        <r>
          <rPr>
            <sz val="10"/>
            <rFont val="Arial"/>
            <family val="2"/>
          </rPr>
          <t>CESA</t>
        </r>
        <r>
          <rPr>
            <sz val="10"/>
            <rFont val="Noto Sans CJK SC"/>
            <family val="2"/>
          </rPr>
          <t>等）」に変更する方針と整合させること。
②「令和</t>
        </r>
        <r>
          <rPr>
            <sz val="10"/>
            <rFont val="Arial"/>
            <family val="2"/>
          </rPr>
          <t>8</t>
        </r>
        <r>
          <rPr>
            <sz val="10"/>
            <rFont val="Noto Sans CJK SC"/>
            <family val="2"/>
          </rPr>
          <t>年度第</t>
        </r>
        <r>
          <rPr>
            <sz val="10"/>
            <rFont val="Arial"/>
            <family val="2"/>
          </rPr>
          <t>1</t>
        </r>
        <r>
          <rPr>
            <sz val="10"/>
            <rFont val="Noto Sans CJK SC"/>
            <family val="2"/>
          </rPr>
          <t>四半期に正式協定を締結」
→「事前協議済み」と「協定未締結」の矛盾に審査側が着目する可能性。協議議事録・覚書（</t>
        </r>
        <r>
          <rPr>
            <sz val="10"/>
            <rFont val="Arial"/>
            <family val="2"/>
          </rPr>
          <t>MOU</t>
        </r>
        <r>
          <rPr>
            <sz val="10"/>
            <rFont val="Noto Sans CJK SC"/>
            <family val="2"/>
          </rPr>
          <t>）等の添付が有効。
③連携先の役割分担⑦項目が詳細に記載されているのは強み。ただし「業界横断連携（</t>
        </r>
        <r>
          <rPr>
            <sz val="10"/>
            <rFont val="Arial"/>
            <family val="2"/>
          </rPr>
          <t>5</t>
        </r>
        <r>
          <rPr>
            <sz val="10"/>
            <rFont val="Noto Sans CJK SC"/>
            <family val="2"/>
          </rPr>
          <t>領域の企業群）」の具体名が未記載。７．連携先での記載と必ず整合させること。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400-000001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【修正文案（そのまま差し替え可）】
【実施方針】
「</t>
        </r>
        <r>
          <rPr>
            <sz val="10"/>
            <rFont val="Arial"/>
            <family val="2"/>
          </rPr>
          <t>AI</t>
        </r>
        <r>
          <rPr>
            <sz val="10"/>
            <rFont val="Noto Sans CJK SC"/>
            <family val="2"/>
          </rPr>
          <t>ネイティブ・クリエイター教育」を基軸とし、入門・中級・上級の</t>
        </r>
        <r>
          <rPr>
            <sz val="10"/>
            <rFont val="Arial"/>
            <family val="2"/>
          </rPr>
          <t>3</t>
        </r>
        <r>
          <rPr>
            <sz val="10"/>
            <rFont val="Noto Sans CJK SC"/>
            <family val="2"/>
          </rPr>
          <t>階層で産業横断型の中核人材を育成する。入門・中級の両層には映像・アニメ・ゲーム・</t>
        </r>
        <r>
          <rPr>
            <sz val="10"/>
            <rFont val="Arial"/>
            <family val="2"/>
          </rPr>
          <t>3DCG</t>
        </r>
        <r>
          <rPr>
            <sz val="10"/>
            <rFont val="Noto Sans CJK SC"/>
            <family val="2"/>
          </rPr>
          <t>等の各クリエイティブ分野におけるベーシック</t>
        </r>
        <r>
          <rPr>
            <sz val="10"/>
            <rFont val="Arial"/>
            <family val="2"/>
          </rPr>
          <t>AI</t>
        </r>
        <r>
          <rPr>
            <sz val="10"/>
            <rFont val="Noto Sans CJK SC"/>
            <family val="2"/>
          </rPr>
          <t>スキル（生成</t>
        </r>
        <r>
          <rPr>
            <sz val="10"/>
            <rFont val="Arial"/>
            <family val="2"/>
          </rPr>
          <t>AI</t>
        </r>
        <r>
          <rPr>
            <sz val="10"/>
            <rFont val="Noto Sans CJK SC"/>
            <family val="2"/>
          </rPr>
          <t>活用・</t>
        </r>
        <r>
          <rPr>
            <sz val="10"/>
            <rFont val="Arial"/>
            <family val="2"/>
          </rPr>
          <t>AI</t>
        </r>
        <r>
          <rPr>
            <sz val="10"/>
            <rFont val="Noto Sans CJK SC"/>
            <family val="2"/>
          </rPr>
          <t>アシスト制作フロー）を共通要素として組み込む。
入門コース（</t>
        </r>
        <r>
          <rPr>
            <sz val="10"/>
            <rFont val="Arial"/>
            <family val="2"/>
          </rPr>
          <t>200</t>
        </r>
        <r>
          <rPr>
            <sz val="10"/>
            <rFont val="Noto Sans CJK SC"/>
            <family val="2"/>
          </rPr>
          <t>名</t>
        </r>
        <r>
          <rPr>
            <sz val="10"/>
            <rFont val="Arial"/>
            <family val="2"/>
          </rPr>
          <t>/</t>
        </r>
        <r>
          <rPr>
            <sz val="10"/>
            <rFont val="Noto Sans CJK SC"/>
            <family val="2"/>
          </rPr>
          <t>年）は企業ゼミ（ベネッセ</t>
        </r>
        <r>
          <rPr>
            <sz val="10"/>
            <rFont val="Arial"/>
            <family val="2"/>
          </rPr>
          <t>AI</t>
        </r>
        <r>
          <rPr>
            <sz val="10"/>
            <rFont val="Noto Sans CJK SC"/>
            <family val="2"/>
          </rPr>
          <t>教育研究所</t>
        </r>
        <r>
          <rPr>
            <sz val="10"/>
            <rFont val="Arial"/>
            <family val="2"/>
          </rPr>
          <t>×</t>
        </r>
        <r>
          <rPr>
            <sz val="10"/>
            <rFont val="Noto Sans CJK SC"/>
            <family val="2"/>
          </rPr>
          <t>デジタルハリウッド大学共催）として実施し、</t>
        </r>
        <r>
          <rPr>
            <sz val="10"/>
            <rFont val="Arial"/>
            <family val="2"/>
          </rPr>
          <t>AI</t>
        </r>
        <r>
          <rPr>
            <sz val="10"/>
            <rFont val="Noto Sans CJK SC"/>
            <family val="2"/>
          </rPr>
          <t>ネイティブな制作思考・ツール基礎を習得する。他業種・他職種からの流入も広く受け入れ、人材基盤を形成する。
中級コース（</t>
        </r>
        <r>
          <rPr>
            <sz val="10"/>
            <rFont val="Arial"/>
            <family val="2"/>
          </rPr>
          <t>50</t>
        </r>
        <r>
          <rPr>
            <sz val="10"/>
            <rFont val="Noto Sans CJK SC"/>
            <family val="2"/>
          </rPr>
          <t>名</t>
        </r>
        <r>
          <rPr>
            <sz val="10"/>
            <rFont val="Arial"/>
            <family val="2"/>
          </rPr>
          <t>/</t>
        </r>
        <r>
          <rPr>
            <sz val="10"/>
            <rFont val="Noto Sans CJK SC"/>
            <family val="2"/>
          </rPr>
          <t>年）は各クリエイティブ分野別ゼミにて、ベーシック</t>
        </r>
        <r>
          <rPr>
            <sz val="10"/>
            <rFont val="Arial"/>
            <family val="2"/>
          </rPr>
          <t>AI</t>
        </r>
        <r>
          <rPr>
            <sz val="10"/>
            <rFont val="Noto Sans CJK SC"/>
            <family val="2"/>
          </rPr>
          <t>スキルを深化させつつ専門制作技術と統合した実践教育を行う。本人の希望と適性に応じて専門領域に分化する。
上級コース（</t>
        </r>
        <r>
          <rPr>
            <sz val="10"/>
            <rFont val="Arial"/>
            <family val="2"/>
          </rPr>
          <t>20</t>
        </r>
        <r>
          <rPr>
            <sz val="10"/>
            <rFont val="Noto Sans CJK SC"/>
            <family val="2"/>
          </rPr>
          <t>名</t>
        </r>
        <r>
          <rPr>
            <sz val="10"/>
            <rFont val="Arial"/>
            <family val="2"/>
          </rPr>
          <t>/</t>
        </r>
        <r>
          <rPr>
            <sz val="10"/>
            <rFont val="Noto Sans CJK SC"/>
            <family val="2"/>
          </rPr>
          <t>年）は中級修了者から選抜し、</t>
        </r>
        <r>
          <rPr>
            <sz val="10"/>
            <rFont val="Arial"/>
            <family val="2"/>
          </rPr>
          <t>LED</t>
        </r>
        <r>
          <rPr>
            <sz val="10"/>
            <rFont val="Noto Sans CJK SC"/>
            <family val="2"/>
          </rPr>
          <t>ウォール・</t>
        </r>
        <r>
          <rPr>
            <sz val="10"/>
            <rFont val="Arial"/>
            <family val="2"/>
          </rPr>
          <t>Unreal Engine</t>
        </r>
        <r>
          <rPr>
            <sz val="10"/>
            <rFont val="Noto Sans CJK SC"/>
            <family val="2"/>
          </rPr>
          <t>を活用した</t>
        </r>
        <r>
          <rPr>
            <sz val="10"/>
            <rFont val="Arial"/>
            <family val="2"/>
          </rPr>
          <t>VP</t>
        </r>
        <r>
          <rPr>
            <sz val="10"/>
            <rFont val="Noto Sans CJK SC"/>
            <family val="2"/>
          </rPr>
          <t>専門プログラムにて複数職種にまたがる制作統括能力を養成する。
【決定プロセス】
令和</t>
        </r>
        <r>
          <rPr>
            <sz val="10"/>
            <rFont val="Arial"/>
            <family val="2"/>
          </rPr>
          <t>8</t>
        </r>
        <r>
          <rPr>
            <sz val="10"/>
            <rFont val="Noto Sans CJK SC"/>
            <family val="2"/>
          </rPr>
          <t>年度第</t>
        </r>
        <r>
          <rPr>
            <sz val="10"/>
            <rFont val="Arial"/>
            <family val="2"/>
          </rPr>
          <t>1</t>
        </r>
        <r>
          <rPr>
            <sz val="10"/>
            <rFont val="Noto Sans CJK SC"/>
            <family val="2"/>
          </rPr>
          <t>〜第</t>
        </r>
        <r>
          <rPr>
            <sz val="10"/>
            <rFont val="Arial"/>
            <family val="2"/>
          </rPr>
          <t>2</t>
        </r>
        <r>
          <rPr>
            <sz val="10"/>
            <rFont val="Noto Sans CJK SC"/>
            <family val="2"/>
          </rPr>
          <t>四半期にカリキュラム共同開発（エカート教授・ベネッセ</t>
        </r>
        <r>
          <rPr>
            <sz val="10"/>
            <rFont val="Arial"/>
            <family val="2"/>
          </rPr>
          <t>AI</t>
        </r>
        <r>
          <rPr>
            <sz val="10"/>
            <rFont val="Noto Sans CJK SC"/>
            <family val="2"/>
          </rPr>
          <t>教育研究所との統合設計）、</t>
        </r>
        <r>
          <rPr>
            <sz val="10"/>
            <rFont val="Arial"/>
            <family val="2"/>
          </rPr>
          <t>AI</t>
        </r>
        <r>
          <rPr>
            <sz val="10"/>
            <rFont val="Noto Sans CJK SC"/>
            <family val="2"/>
          </rPr>
          <t>・</t>
        </r>
        <r>
          <rPr>
            <sz val="10"/>
            <rFont val="Arial"/>
            <family val="2"/>
          </rPr>
          <t>VP</t>
        </r>
        <r>
          <rPr>
            <sz val="10"/>
            <rFont val="Noto Sans CJK SC"/>
            <family val="2"/>
          </rPr>
          <t>スキル標準の策定、各コース第</t>
        </r>
        <r>
          <rPr>
            <sz val="10"/>
            <rFont val="Arial"/>
            <family val="2"/>
          </rPr>
          <t>1</t>
        </r>
        <r>
          <rPr>
            <sz val="10"/>
            <rFont val="Noto Sans CJK SC"/>
            <family val="2"/>
          </rPr>
          <t>期向け教材開発を実施。
第</t>
        </r>
        <r>
          <rPr>
            <sz val="10"/>
            <rFont val="Arial"/>
            <family val="2"/>
          </rPr>
          <t>3</t>
        </r>
        <r>
          <rPr>
            <sz val="10"/>
            <rFont val="Noto Sans CJK SC"/>
            <family val="2"/>
          </rPr>
          <t>四半期から企業ゼミ（入門）・クリエイティブ分野別ゼミ（中級）・</t>
        </r>
        <r>
          <rPr>
            <sz val="10"/>
            <rFont val="Arial"/>
            <family val="2"/>
          </rPr>
          <t>VP</t>
        </r>
        <r>
          <rPr>
            <sz val="10"/>
            <rFont val="Noto Sans CJK SC"/>
            <family val="2"/>
          </rPr>
          <t>専門プログラム（上級）を同時開講し、</t>
        </r>
        <r>
          <rPr>
            <sz val="10"/>
            <rFont val="Arial"/>
            <family val="2"/>
          </rPr>
          <t>LED</t>
        </r>
        <r>
          <rPr>
            <sz val="10"/>
            <rFont val="Noto Sans CJK SC"/>
            <family val="2"/>
          </rPr>
          <t>ウォール環境を活用した実制作演習の本格稼働、エカート教授による上級指導を開始する。
【</t>
        </r>
        <r>
          <rPr>
            <sz val="10"/>
            <rFont val="Arial"/>
            <family val="2"/>
          </rPr>
          <t>AI Native</t>
        </r>
        <r>
          <rPr>
            <sz val="10"/>
            <rFont val="Noto Sans CJK SC"/>
            <family val="2"/>
          </rPr>
          <t xml:space="preserve">ワークフロー】
</t>
        </r>
        <r>
          <rPr>
            <sz val="10"/>
            <rFont val="Arial"/>
            <family val="2"/>
          </rPr>
          <t>3DCG</t>
        </r>
        <r>
          <rPr>
            <sz val="10"/>
            <rFont val="Noto Sans CJK SC"/>
            <family val="2"/>
          </rPr>
          <t>制作工程を「①企画・開発、②プリプロダクション、③バーチャルプロダクション、④ポストプロダクション、⑤検証・アーカイブ」の</t>
        </r>
        <r>
          <rPr>
            <sz val="10"/>
            <rFont val="Arial"/>
            <family val="2"/>
          </rPr>
          <t>5</t>
        </r>
        <r>
          <rPr>
            <sz val="10"/>
            <rFont val="Noto Sans CJK SC"/>
            <family val="2"/>
          </rPr>
          <t>段階に再設計し、各段階で</t>
        </r>
        <r>
          <rPr>
            <sz val="10"/>
            <rFont val="Arial"/>
            <family val="2"/>
          </rPr>
          <t>AI</t>
        </r>
        <r>
          <rPr>
            <sz val="10"/>
            <rFont val="Noto Sans CJK SC"/>
            <family val="2"/>
          </rPr>
          <t>・リアルタイム制作・</t>
        </r>
        <r>
          <rPr>
            <sz val="10"/>
            <rFont val="Arial"/>
            <family val="2"/>
          </rPr>
          <t>VP</t>
        </r>
        <r>
          <rPr>
            <sz val="10"/>
            <rFont val="Noto Sans CJK SC"/>
            <family val="2"/>
          </rPr>
          <t>を統合的に活用する。</t>
        </r>
      </text>
    </comment>
    <comment ref="B13" authorId="0" shapeId="0" xr:uid="{00000000-0006-0000-0400-000002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【修正文案（そのまま差し替え可）】
【事務局】
専従事務局をデジタルハリウッド大学内に設置し、専従スタッフ（プログラム・ディレクター、教務担当、広報担当、経理担当）を配置する。年度ごとの執行計画と実績管理を行う。
【実施体制】
中核実施機関：デジタルハリウッド大学（教育設計・運営・成果評価・修了生支援）。
中核指導者：クリストファー・ハンス・エカート教授（元</t>
        </r>
        <r>
          <rPr>
            <sz val="10"/>
            <rFont val="Arial"/>
            <family val="2"/>
          </rPr>
          <t>Framestore Los Angeles</t>
        </r>
        <r>
          <rPr>
            <sz val="10"/>
            <rFont val="Noto Sans CJK SC"/>
            <family val="2"/>
          </rPr>
          <t>設立メンバー、</t>
        </r>
        <r>
          <rPr>
            <sz val="10"/>
            <rFont val="Arial"/>
            <family val="2"/>
          </rPr>
          <t>MTV Video Music Award</t>
        </r>
        <r>
          <rPr>
            <sz val="10"/>
            <rFont val="Noto Sans CJK SC"/>
            <family val="2"/>
          </rPr>
          <t>最優秀視覚効果賞受賞、令和</t>
        </r>
        <r>
          <rPr>
            <sz val="10"/>
            <rFont val="Arial"/>
            <family val="2"/>
          </rPr>
          <t>8</t>
        </r>
        <r>
          <rPr>
            <sz val="10"/>
            <rFont val="Noto Sans CJK SC"/>
            <family val="2"/>
          </rPr>
          <t>年招聘予定）。
入門層は企業ゼミ（ベネッセ</t>
        </r>
        <r>
          <rPr>
            <sz val="10"/>
            <rFont val="Arial"/>
            <family val="2"/>
          </rPr>
          <t>AI</t>
        </r>
        <r>
          <rPr>
            <sz val="10"/>
            <rFont val="Noto Sans CJK SC"/>
            <family val="2"/>
          </rPr>
          <t>教育研究所</t>
        </r>
        <r>
          <rPr>
            <sz val="10"/>
            <rFont val="Arial"/>
            <family val="2"/>
          </rPr>
          <t>×</t>
        </r>
        <r>
          <rPr>
            <sz val="10"/>
            <rFont val="Noto Sans CJK SC"/>
            <family val="2"/>
          </rPr>
          <t>デジタルハリウッド大学共催）として実施。中級層は各クリエイティブ分野別ゼミにてデジタルハリウッド大学が主導。上級層はエカート教授指導のもと</t>
        </r>
        <r>
          <rPr>
            <sz val="10"/>
            <rFont val="Arial"/>
            <family val="2"/>
          </rPr>
          <t>VP</t>
        </r>
        <r>
          <rPr>
            <sz val="10"/>
            <rFont val="Noto Sans CJK SC"/>
            <family val="2"/>
          </rPr>
          <t>専門プログラムとして実施する。
【連携先】
ベネッセ</t>
        </r>
        <r>
          <rPr>
            <sz val="10"/>
            <rFont val="Arial"/>
            <family val="2"/>
          </rPr>
          <t>AI</t>
        </r>
        <r>
          <rPr>
            <sz val="10"/>
            <rFont val="Noto Sans CJK SC"/>
            <family val="2"/>
          </rPr>
          <t>教育研究所が教育効果測定・修了生追跡・</t>
        </r>
        <r>
          <rPr>
            <sz val="10"/>
            <rFont val="Arial"/>
            <family val="2"/>
          </rPr>
          <t>EBPM</t>
        </r>
        <r>
          <rPr>
            <sz val="10"/>
            <rFont val="Noto Sans CJK SC"/>
            <family val="2"/>
          </rPr>
          <t xml:space="preserve">評価・全国教育機関展開支援・高大接続設計・オンライン普及を担当。
【自己負担金確保】
</t>
        </r>
        <r>
          <rPr>
            <sz val="10"/>
            <rFont val="Arial"/>
            <family val="2"/>
          </rPr>
          <t>1,500</t>
        </r>
        <r>
          <rPr>
            <sz val="10"/>
            <rFont val="Noto Sans CJK SC"/>
            <family val="2"/>
          </rPr>
          <t>万円は本学自己資金により確実に確保。安定的な財務基盤に裏付け。</t>
        </r>
      </text>
    </comment>
    <comment ref="B21" authorId="0" shapeId="0" xr:uid="{00000000-0006-0000-0400-000003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【修正文案（そのまま差し替え可）】
【広報】
特設</t>
        </r>
        <r>
          <rPr>
            <sz val="10"/>
            <rFont val="Arial"/>
            <family val="2"/>
          </rPr>
          <t>Web</t>
        </r>
        <r>
          <rPr>
            <sz val="10"/>
            <rFont val="Noto Sans CJK SC"/>
            <family val="2"/>
          </rPr>
          <t>サイト・</t>
        </r>
        <r>
          <rPr>
            <sz val="10"/>
            <rFont val="Arial"/>
            <family val="2"/>
          </rPr>
          <t>SNS</t>
        </r>
        <r>
          <rPr>
            <sz val="10"/>
            <rFont val="Noto Sans CJK SC"/>
            <family val="2"/>
          </rPr>
          <t>・大学広報を活用した受講生募集と事業情報発信。業界専門メディア（</t>
        </r>
        <r>
          <rPr>
            <sz val="10"/>
            <rFont val="Arial"/>
            <family val="2"/>
          </rPr>
          <t>CGWORLD</t>
        </r>
        <r>
          <rPr>
            <sz val="10"/>
            <rFont val="Noto Sans CJK SC"/>
            <family val="2"/>
          </rPr>
          <t>ほか）への寄稿・掲載。年次研究会の開催（年</t>
        </r>
        <r>
          <rPr>
            <sz val="10"/>
            <rFont val="Arial"/>
            <family val="2"/>
          </rPr>
          <t>4</t>
        </r>
        <r>
          <rPr>
            <sz val="10"/>
            <rFont val="Noto Sans CJK SC"/>
            <family val="2"/>
          </rPr>
          <t>回</t>
        </r>
        <r>
          <rPr>
            <sz val="10"/>
            <rFont val="Arial"/>
            <family val="2"/>
          </rPr>
          <t>×3</t>
        </r>
        <r>
          <rPr>
            <sz val="10"/>
            <rFont val="Noto Sans CJK SC"/>
            <family val="2"/>
          </rPr>
          <t>年、延べ参加者</t>
        </r>
        <r>
          <rPr>
            <sz val="10"/>
            <rFont val="Arial"/>
            <family val="2"/>
          </rPr>
          <t>1,500</t>
        </r>
        <r>
          <rPr>
            <sz val="10"/>
            <rFont val="Noto Sans CJK SC"/>
            <family val="2"/>
          </rPr>
          <t>名以上）。
【成果発表】
中間研究レポート（令和</t>
        </r>
        <r>
          <rPr>
            <sz val="10"/>
            <rFont val="Arial"/>
            <family val="2"/>
          </rPr>
          <t>8</t>
        </r>
        <r>
          <rPr>
            <sz val="10"/>
            <rFont val="Noto Sans CJK SC"/>
            <family val="2"/>
          </rPr>
          <t>年度末・令和</t>
        </r>
        <r>
          <rPr>
            <sz val="10"/>
            <rFont val="Arial"/>
            <family val="2"/>
          </rPr>
          <t>9</t>
        </r>
        <r>
          <rPr>
            <sz val="10"/>
            <rFont val="Noto Sans CJK SC"/>
            <family val="2"/>
          </rPr>
          <t>年度末）、最終研究レポート（令和</t>
        </r>
        <r>
          <rPr>
            <sz val="10"/>
            <rFont val="Arial"/>
            <family val="2"/>
          </rPr>
          <t>10</t>
        </r>
        <r>
          <rPr>
            <sz val="10"/>
            <rFont val="Noto Sans CJK SC"/>
            <family val="2"/>
          </rPr>
          <t>年度末）を公開。実制作作品（</t>
        </r>
        <r>
          <rPr>
            <sz val="10"/>
            <rFont val="Arial"/>
            <family val="2"/>
          </rPr>
          <t>3</t>
        </r>
        <r>
          <rPr>
            <sz val="10"/>
            <rFont val="Noto Sans CJK SC"/>
            <family val="2"/>
          </rPr>
          <t>年累計</t>
        </r>
        <r>
          <rPr>
            <sz val="10"/>
            <rFont val="Arial"/>
            <family val="2"/>
          </rPr>
          <t>24</t>
        </r>
        <r>
          <rPr>
            <sz val="10"/>
            <rFont val="Noto Sans CJK SC"/>
            <family val="2"/>
          </rPr>
          <t>作品以上）の発表会開催。
【モデル展開】
教材公開ライセンス（累計</t>
        </r>
        <r>
          <rPr>
            <sz val="10"/>
            <rFont val="Arial"/>
            <family val="2"/>
          </rPr>
          <t>50</t>
        </r>
        <r>
          <rPr>
            <sz val="10"/>
            <rFont val="Noto Sans CJK SC"/>
            <family val="2"/>
          </rPr>
          <t>本以上）、</t>
        </r>
        <r>
          <rPr>
            <sz val="10"/>
            <rFont val="Arial"/>
            <family val="2"/>
          </rPr>
          <t>FD</t>
        </r>
        <r>
          <rPr>
            <sz val="10"/>
            <rFont val="Noto Sans CJK SC"/>
            <family val="2"/>
          </rPr>
          <t>研修（年</t>
        </r>
        <r>
          <rPr>
            <sz val="10"/>
            <rFont val="Arial"/>
            <family val="2"/>
          </rPr>
          <t>2</t>
        </r>
        <r>
          <rPr>
            <sz val="10"/>
            <rFont val="Noto Sans CJK SC"/>
            <family val="2"/>
          </rPr>
          <t>回、累計</t>
        </r>
        <r>
          <rPr>
            <sz val="10"/>
            <rFont val="Arial"/>
            <family val="2"/>
          </rPr>
          <t>150</t>
        </r>
        <r>
          <rPr>
            <sz val="10"/>
            <rFont val="Noto Sans CJK SC"/>
            <family val="2"/>
          </rPr>
          <t>名以上）、</t>
        </r>
        <r>
          <rPr>
            <sz val="10"/>
            <rFont val="Arial"/>
            <family val="2"/>
          </rPr>
          <t>DX</t>
        </r>
        <r>
          <rPr>
            <sz val="10"/>
            <rFont val="Noto Sans CJK SC"/>
            <family val="2"/>
          </rPr>
          <t>ハイスクール等への出前授業（年</t>
        </r>
        <r>
          <rPr>
            <sz val="10"/>
            <rFont val="Arial"/>
            <family val="2"/>
          </rPr>
          <t>4</t>
        </r>
        <r>
          <rPr>
            <sz val="10"/>
            <rFont val="Noto Sans CJK SC"/>
            <family val="2"/>
          </rPr>
          <t>回、累計</t>
        </r>
        <r>
          <rPr>
            <sz val="10"/>
            <rFont val="Arial"/>
            <family val="2"/>
          </rPr>
          <t>60</t>
        </r>
        <r>
          <rPr>
            <sz val="10"/>
            <rFont val="Noto Sans CJK SC"/>
            <family val="2"/>
          </rPr>
          <t>校以上）、サマースクール（年</t>
        </r>
        <r>
          <rPr>
            <sz val="10"/>
            <rFont val="Arial"/>
            <family val="2"/>
          </rPr>
          <t>1</t>
        </r>
        <r>
          <rPr>
            <sz val="10"/>
            <rFont val="Noto Sans CJK SC"/>
            <family val="2"/>
          </rPr>
          <t>回</t>
        </r>
        <r>
          <rPr>
            <sz val="10"/>
            <rFont val="Arial"/>
            <family val="2"/>
          </rPr>
          <t>×3</t>
        </r>
        <r>
          <rPr>
            <sz val="10"/>
            <rFont val="Noto Sans CJK SC"/>
            <family val="2"/>
          </rPr>
          <t>年、累計修了者</t>
        </r>
        <r>
          <rPr>
            <sz val="10"/>
            <rFont val="Arial"/>
            <family val="2"/>
          </rPr>
          <t>120</t>
        </r>
        <r>
          <rPr>
            <sz val="10"/>
            <rFont val="Noto Sans CJK SC"/>
            <family val="2"/>
          </rPr>
          <t>名以上）を実施。
【国際発信】
令和</t>
        </r>
        <r>
          <rPr>
            <sz val="10"/>
            <rFont val="Arial"/>
            <family val="2"/>
          </rPr>
          <t>10</t>
        </r>
        <r>
          <rPr>
            <sz val="10"/>
            <rFont val="Noto Sans CJK SC"/>
            <family val="2"/>
          </rPr>
          <t>年度第</t>
        </r>
        <r>
          <rPr>
            <sz val="10"/>
            <rFont val="Arial"/>
            <family val="2"/>
          </rPr>
          <t>3</t>
        </r>
        <r>
          <rPr>
            <sz val="10"/>
            <rFont val="Noto Sans CJK SC"/>
            <family val="2"/>
          </rPr>
          <t>四半期にプロジェクト成果国際カンファレンスを開催。
【業界・行政共有】
業界標準コンピテンシーモデルおよび国産デジタルデザインプラットフォーム要件定義書を策定・公開し、経済産業省・文化庁・内閣府への報告、業界団体（</t>
        </r>
        <r>
          <rPr>
            <sz val="10"/>
            <rFont val="Arial"/>
            <family val="2"/>
          </rPr>
          <t>CESA</t>
        </r>
        <r>
          <rPr>
            <sz val="10"/>
            <rFont val="Noto Sans CJK SC"/>
            <family val="2"/>
          </rPr>
          <t>等）への共有を実施。関連シンポジウムを累計</t>
        </r>
        <r>
          <rPr>
            <sz val="10"/>
            <rFont val="Arial"/>
            <family val="2"/>
          </rPr>
          <t>3</t>
        </r>
        <r>
          <rPr>
            <sz val="10"/>
            <rFont val="Noto Sans CJK SC"/>
            <family val="2"/>
          </rPr>
          <t>回以上開催。</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1" authorId="0" shapeId="0" xr:uid="{00000000-0006-0000-0600-000001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【記載文案（公式サイト情報）】
氏名：髙野 良和（たかの よしかず）
状況：本学教員
専門分野：映像制作・</t>
        </r>
        <r>
          <rPr>
            <sz val="10"/>
            <rFont val="Arial"/>
            <family val="2"/>
          </rPr>
          <t>Music Video</t>
        </r>
        <r>
          <rPr>
            <sz val="10"/>
            <rFont val="Noto Sans CJK SC"/>
            <family val="2"/>
          </rPr>
          <t>・</t>
        </r>
        <r>
          <rPr>
            <sz val="10"/>
            <rFont val="Arial"/>
            <family val="2"/>
          </rPr>
          <t>VJ</t>
        </r>
        <r>
          <rPr>
            <sz val="10"/>
            <rFont val="Noto Sans CJK SC"/>
            <family val="2"/>
          </rPr>
          <t xml:space="preserve">・広告映像・クリエイター育成
所属・職名：デジタルハリウッド大学 准教授 ／ </t>
        </r>
        <r>
          <rPr>
            <sz val="10"/>
            <rFont val="Arial"/>
            <family val="2"/>
          </rPr>
          <t xml:space="preserve">GROUNDRIDDIM </t>
        </r>
        <r>
          <rPr>
            <sz val="10"/>
            <rFont val="Noto Sans CJK SC"/>
            <family val="2"/>
          </rPr>
          <t>プロデューサー
担当科目：基礎ツール演習習Ⅱ</t>
        </r>
        <r>
          <rPr>
            <sz val="10"/>
            <rFont val="Arial"/>
            <family val="2"/>
          </rPr>
          <t>-b(AE)</t>
        </r>
        <r>
          <rPr>
            <sz val="10"/>
            <rFont val="Noto Sans CJK SC"/>
            <family val="2"/>
          </rPr>
          <t>、映像制作演習応用</t>
        </r>
        <r>
          <rPr>
            <sz val="10"/>
            <rFont val="Arial"/>
            <family val="2"/>
          </rPr>
          <t>A</t>
        </r>
        <r>
          <rPr>
            <sz val="10"/>
            <rFont val="Noto Sans CJK SC"/>
            <family val="2"/>
          </rPr>
          <t>〜</t>
        </r>
        <r>
          <rPr>
            <sz val="10"/>
            <rFont val="Arial"/>
            <family val="2"/>
          </rPr>
          <t>D</t>
        </r>
        <r>
          <rPr>
            <sz val="10"/>
            <rFont val="Noto Sans CJK SC"/>
            <family val="2"/>
          </rPr>
          <t>、ゼミⅠ〜Ⅳ、卒業制作課題・展示
役割：中級層クリエイティブ分野別ゼミ（映像・映画専門）担当。映像表現実践ゼミを通じた次世代クリエイター育成。
実績：
・</t>
        </r>
        <r>
          <rPr>
            <sz val="10"/>
            <rFont val="Arial"/>
            <family val="2"/>
          </rPr>
          <t>CG</t>
        </r>
        <r>
          <rPr>
            <sz val="10"/>
            <rFont val="Noto Sans CJK SC"/>
            <family val="2"/>
          </rPr>
          <t>デザイナーとしてゲーム業界でキャリアスタート（セガ「</t>
        </r>
        <r>
          <rPr>
            <sz val="10"/>
            <rFont val="Arial"/>
            <family val="2"/>
          </rPr>
          <t>ROOMANIA#203</t>
        </r>
        <r>
          <rPr>
            <sz val="10"/>
            <rFont val="Noto Sans CJK SC"/>
            <family val="2"/>
          </rPr>
          <t>」、ナムコ「鉄拳４」等）
・</t>
        </r>
        <r>
          <rPr>
            <sz val="10"/>
            <rFont val="Arial"/>
            <family val="2"/>
          </rPr>
          <t>2011</t>
        </r>
        <r>
          <rPr>
            <sz val="10"/>
            <rFont val="Noto Sans CJK SC"/>
            <family val="2"/>
          </rPr>
          <t>年〜 クリエイティブプロダクション</t>
        </r>
        <r>
          <rPr>
            <sz val="10"/>
            <rFont val="Arial"/>
            <family val="2"/>
          </rPr>
          <t>GROUNDRIDDIM</t>
        </r>
        <r>
          <rPr>
            <sz val="10"/>
            <rFont val="Noto Sans CJK SC"/>
            <family val="2"/>
          </rPr>
          <t>プロデューサー（</t>
        </r>
        <r>
          <rPr>
            <sz val="10"/>
            <rFont val="Arial"/>
            <family val="2"/>
          </rPr>
          <t>HIFANA</t>
        </r>
        <r>
          <rPr>
            <sz val="10"/>
            <rFont val="Noto Sans CJK SC"/>
            <family val="2"/>
          </rPr>
          <t>、七尾旅人、パスピエ等の</t>
        </r>
        <r>
          <rPr>
            <sz val="10"/>
            <rFont val="Arial"/>
            <family val="2"/>
          </rPr>
          <t>MV</t>
        </r>
        <r>
          <rPr>
            <sz val="10"/>
            <rFont val="Noto Sans CJK SC"/>
            <family val="2"/>
          </rPr>
          <t>・ライブ演出）
・</t>
        </r>
        <r>
          <rPr>
            <sz val="10"/>
            <rFont val="Arial"/>
            <family val="2"/>
          </rPr>
          <t xml:space="preserve">FUJI ROCK FESTIVAL'11 Yellow Magic Orchestra </t>
        </r>
        <r>
          <rPr>
            <sz val="10"/>
            <rFont val="Noto Sans CJK SC"/>
            <family val="2"/>
          </rPr>
          <t>ライブ</t>
        </r>
        <r>
          <rPr>
            <sz val="10"/>
            <rFont val="Arial"/>
            <family val="2"/>
          </rPr>
          <t>VJ</t>
        </r>
        <r>
          <rPr>
            <sz val="10"/>
            <rFont val="Noto Sans CJK SC"/>
            <family val="2"/>
          </rPr>
          <t>担当
・藤井風「きらり」</t>
        </r>
        <r>
          <rPr>
            <sz val="10"/>
            <rFont val="Arial"/>
            <family val="2"/>
          </rPr>
          <t>MV</t>
        </r>
        <r>
          <rPr>
            <sz val="10"/>
            <rFont val="Noto Sans CJK SC"/>
            <family val="2"/>
          </rPr>
          <t>（ストリーミング累計</t>
        </r>
        <r>
          <rPr>
            <sz val="10"/>
            <rFont val="Arial"/>
            <family val="2"/>
          </rPr>
          <t>5</t>
        </r>
        <r>
          <rPr>
            <sz val="10"/>
            <rFont val="Noto Sans CJK SC"/>
            <family val="2"/>
          </rPr>
          <t>億回超</t>
        </r>
        <r>
          <rPr>
            <sz val="10"/>
            <rFont val="Arial"/>
            <family val="2"/>
          </rPr>
          <t>/2024</t>
        </r>
        <r>
          <rPr>
            <sz val="10"/>
            <rFont val="Noto Sans CJK SC"/>
            <family val="2"/>
          </rPr>
          <t>年</t>
        </r>
        <r>
          <rPr>
            <sz val="10"/>
            <rFont val="Arial"/>
            <family val="2"/>
          </rPr>
          <t>3</t>
        </r>
        <r>
          <rPr>
            <sz val="10"/>
            <rFont val="Noto Sans CJK SC"/>
            <family val="2"/>
          </rPr>
          <t>月時点）プロデューサー参加
・</t>
        </r>
        <r>
          <rPr>
            <sz val="10"/>
            <rFont val="Arial"/>
            <family val="2"/>
          </rPr>
          <t>2014</t>
        </r>
        <r>
          <rPr>
            <sz val="10"/>
            <rFont val="Noto Sans CJK SC"/>
            <family val="2"/>
          </rPr>
          <t>年〜 デジタルハリウッド大学教員（映像表現実践ゼミ担当）
出典：</t>
        </r>
        <r>
          <rPr>
            <sz val="10"/>
            <rFont val="Arial"/>
            <family val="2"/>
          </rPr>
          <t>https://www.dhw.ac.jp/faculty/teacher/takano-yoshikazu/</t>
        </r>
      </text>
    </comment>
    <comment ref="B22" authorId="0" shapeId="0" xr:uid="{00000000-0006-0000-0600-000002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【新規追加 記載文案】
氏名：ヤーッコ サーリ（</t>
        </r>
        <r>
          <rPr>
            <sz val="10"/>
            <rFont val="Arial"/>
            <family val="2"/>
          </rPr>
          <t>Jaakko Saari</t>
        </r>
        <r>
          <rPr>
            <sz val="10"/>
            <rFont val="Noto Sans CJK SC"/>
            <family val="2"/>
          </rPr>
          <t>）
状況：本学教員
専門分野：リアルタイム</t>
        </r>
        <r>
          <rPr>
            <sz val="10"/>
            <rFont val="Arial"/>
            <family val="2"/>
          </rPr>
          <t>CG</t>
        </r>
        <r>
          <rPr>
            <sz val="10"/>
            <rFont val="Noto Sans CJK SC"/>
            <family val="2"/>
          </rPr>
          <t>・</t>
        </r>
        <r>
          <rPr>
            <sz val="10"/>
            <rFont val="Arial"/>
            <family val="2"/>
          </rPr>
          <t>Unreal Engine</t>
        </r>
        <r>
          <rPr>
            <sz val="10"/>
            <rFont val="Noto Sans CJK SC"/>
            <family val="2"/>
          </rPr>
          <t xml:space="preserve">・バーチャルプロダクション
所属・職名：デジタルハリウッド大学 特任准教授 ／ </t>
        </r>
        <r>
          <rPr>
            <sz val="10"/>
            <rFont val="Arial"/>
            <family val="2"/>
          </rPr>
          <t xml:space="preserve">Territory Studio </t>
        </r>
        <r>
          <rPr>
            <sz val="10"/>
            <rFont val="Noto Sans CJK SC"/>
            <family val="2"/>
          </rPr>
          <t>フリーランス</t>
        </r>
        <r>
          <rPr>
            <sz val="10"/>
            <rFont val="Arial"/>
            <family val="2"/>
          </rPr>
          <t>CG</t>
        </r>
        <r>
          <rPr>
            <sz val="10"/>
            <rFont val="Noto Sans CJK SC"/>
            <family val="2"/>
          </rPr>
          <t>アーティスト
役割：</t>
        </r>
        <r>
          <rPr>
            <sz val="10"/>
            <rFont val="Arial"/>
            <family val="2"/>
          </rPr>
          <t>Unreal Engine</t>
        </r>
        <r>
          <rPr>
            <sz val="10"/>
            <rFont val="Noto Sans CJK SC"/>
            <family val="2"/>
          </rPr>
          <t>を活用した</t>
        </r>
        <r>
          <rPr>
            <sz val="10"/>
            <rFont val="Arial"/>
            <family val="2"/>
          </rPr>
          <t>VP</t>
        </r>
        <r>
          <rPr>
            <sz val="10"/>
            <rFont val="Noto Sans CJK SC"/>
            <family val="2"/>
          </rPr>
          <t>制作・リアルタイム</t>
        </r>
        <r>
          <rPr>
            <sz val="10"/>
            <rFont val="Arial"/>
            <family val="2"/>
          </rPr>
          <t>CG</t>
        </r>
        <r>
          <rPr>
            <sz val="10"/>
            <rFont val="Noto Sans CJK SC"/>
            <family val="2"/>
          </rPr>
          <t>ワークフロー指導。中級〜上級層の実践教育担当。
実績：フィンランド出身、</t>
        </r>
        <r>
          <rPr>
            <sz val="10"/>
            <rFont val="Arial"/>
            <family val="2"/>
          </rPr>
          <t>2007</t>
        </r>
        <r>
          <rPr>
            <sz val="10"/>
            <rFont val="Noto Sans CJK SC"/>
            <family val="2"/>
          </rPr>
          <t>年来日。</t>
        </r>
        <r>
          <rPr>
            <sz val="10"/>
            <rFont val="Arial"/>
            <family val="2"/>
          </rPr>
          <t>IMAGICA DIGITALSCAPE Unreal Engine</t>
        </r>
        <r>
          <rPr>
            <sz val="10"/>
            <rFont val="Noto Sans CJK SC"/>
            <family val="2"/>
          </rPr>
          <t>アドバイザー、</t>
        </r>
        <r>
          <rPr>
            <sz val="10"/>
            <rFont val="Arial"/>
            <family val="2"/>
          </rPr>
          <t>Adobe 3D</t>
        </r>
        <r>
          <rPr>
            <sz val="10"/>
            <rFont val="Noto Sans CJK SC"/>
            <family val="2"/>
          </rPr>
          <t>＆</t>
        </r>
        <r>
          <rPr>
            <sz val="10"/>
            <rFont val="Arial"/>
            <family val="2"/>
          </rPr>
          <t>Immersive</t>
        </r>
        <r>
          <rPr>
            <sz val="10"/>
            <rFont val="Noto Sans CJK SC"/>
            <family val="2"/>
          </rPr>
          <t>部門、</t>
        </r>
        <r>
          <rPr>
            <sz val="10"/>
            <rFont val="Arial"/>
            <family val="2"/>
          </rPr>
          <t>Territory Studio</t>
        </r>
        <r>
          <rPr>
            <sz val="10"/>
            <rFont val="Noto Sans CJK SC"/>
            <family val="2"/>
          </rPr>
          <t>等を経てデジタルハリウッド大学特任准教授。</t>
        </r>
        <r>
          <rPr>
            <sz val="10"/>
            <rFont val="Arial"/>
            <family val="2"/>
          </rPr>
          <t>ASIAGRAPH2021 CG Art Gallery Division I</t>
        </r>
        <r>
          <rPr>
            <sz val="10"/>
            <rFont val="Noto Sans CJK SC"/>
            <family val="2"/>
          </rPr>
          <t>受賞。</t>
        </r>
        <r>
          <rPr>
            <sz val="10"/>
            <rFont val="Arial"/>
            <family val="2"/>
          </rPr>
          <t>Substance Designer</t>
        </r>
        <r>
          <rPr>
            <sz val="10"/>
            <rFont val="Noto Sans CJK SC"/>
            <family val="2"/>
          </rPr>
          <t>・</t>
        </r>
        <r>
          <rPr>
            <sz val="10"/>
            <rFont val="Arial"/>
            <family val="2"/>
          </rPr>
          <t>Unreal Engine</t>
        </r>
        <r>
          <rPr>
            <sz val="10"/>
            <rFont val="Noto Sans CJK SC"/>
            <family val="2"/>
          </rPr>
          <t>専門家として</t>
        </r>
        <r>
          <rPr>
            <sz val="10"/>
            <rFont val="Arial"/>
            <family val="2"/>
          </rPr>
          <t>15</t>
        </r>
        <r>
          <rPr>
            <sz val="10"/>
            <rFont val="Noto Sans CJK SC"/>
            <family val="2"/>
          </rPr>
          <t>年以上の</t>
        </r>
        <r>
          <rPr>
            <sz val="10"/>
            <rFont val="Arial"/>
            <family val="2"/>
          </rPr>
          <t>CG</t>
        </r>
        <r>
          <rPr>
            <sz val="10"/>
            <rFont val="Noto Sans CJK SC"/>
            <family val="2"/>
          </rPr>
          <t>実務経験。
出典：</t>
        </r>
        <r>
          <rPr>
            <sz val="10"/>
            <rFont val="Arial"/>
            <family val="2"/>
          </rPr>
          <t xml:space="preserve">LinkedIn https://www.linkedin.com/in/jaakko-saari-crw/ / </t>
        </r>
        <r>
          <rPr>
            <sz val="10"/>
            <rFont val="Noto Sans CJK SC"/>
            <family val="2"/>
          </rPr>
          <t>デジタルハリウッド大学公式</t>
        </r>
      </text>
    </comment>
    <comment ref="B23" authorId="0" shapeId="0" xr:uid="{00000000-0006-0000-0600-000003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【新規追加 記載文案】
氏名：古岩 祥幸（ふるいわ よしゆき）
状況：本学教員
専門分野：</t>
        </r>
        <r>
          <rPr>
            <sz val="10"/>
            <rFont val="Arial"/>
            <family val="2"/>
          </rPr>
          <t>3DCG</t>
        </r>
        <r>
          <rPr>
            <sz val="10"/>
            <rFont val="Noto Sans CJK SC"/>
            <family val="2"/>
          </rPr>
          <t>・キャラクターアニメーション
所属・職名：デジタルハリウッド大学 非常勤講師 ／ デジタルハリウッド専門スクール 講師
役割：</t>
        </r>
        <r>
          <rPr>
            <sz val="10"/>
            <rFont val="Arial"/>
            <family val="2"/>
          </rPr>
          <t>3DCG</t>
        </r>
        <r>
          <rPr>
            <sz val="10"/>
            <rFont val="Noto Sans CJK SC"/>
            <family val="2"/>
          </rPr>
          <t>演習・フル</t>
        </r>
        <r>
          <rPr>
            <sz val="10"/>
            <rFont val="Arial"/>
            <family val="2"/>
          </rPr>
          <t>CG</t>
        </r>
        <r>
          <rPr>
            <sz val="10"/>
            <rFont val="Noto Sans CJK SC"/>
            <family val="2"/>
          </rPr>
          <t>系ゼミ担当。中級層クリエイティブ分野別ゼミ（</t>
        </r>
        <r>
          <rPr>
            <sz val="10"/>
            <rFont val="Arial"/>
            <family val="2"/>
          </rPr>
          <t>3DCG</t>
        </r>
        <r>
          <rPr>
            <sz val="10"/>
            <rFont val="Noto Sans CJK SC"/>
            <family val="2"/>
          </rPr>
          <t>アニメーション）指導。
実績：デジタルハリウッド本科</t>
        </r>
        <r>
          <rPr>
            <sz val="10"/>
            <rFont val="Arial"/>
            <family val="2"/>
          </rPr>
          <t>ProCG</t>
        </r>
        <r>
          <rPr>
            <sz val="10"/>
            <rFont val="Noto Sans CJK SC"/>
            <family val="2"/>
          </rPr>
          <t>コース卒業後、株式会社ポリゴン・ピクチュアズにてレイアウト・キャラクターアニメーション担当（国内外</t>
        </r>
        <r>
          <rPr>
            <sz val="10"/>
            <rFont val="Arial"/>
            <family val="2"/>
          </rPr>
          <t>CG</t>
        </r>
        <r>
          <rPr>
            <sz val="10"/>
            <rFont val="Noto Sans CJK SC"/>
            <family val="2"/>
          </rPr>
          <t>アニメ多数）。</t>
        </r>
        <r>
          <rPr>
            <sz val="10"/>
            <rFont val="Arial"/>
            <family val="2"/>
          </rPr>
          <t>2014</t>
        </r>
        <r>
          <rPr>
            <sz val="10"/>
            <rFont val="Noto Sans CJK SC"/>
            <family val="2"/>
          </rPr>
          <t>年よりデジタルハリウッド大学講師、フル</t>
        </r>
        <r>
          <rPr>
            <sz val="10"/>
            <rFont val="Arial"/>
            <family val="2"/>
          </rPr>
          <t>CG</t>
        </r>
        <r>
          <rPr>
            <sz val="10"/>
            <rFont val="Noto Sans CJK SC"/>
            <family val="2"/>
          </rPr>
          <t>系ゼミ担当。代表作：『げんきげんきノンタン でかでかありがとう』『</t>
        </r>
        <r>
          <rPr>
            <sz val="10"/>
            <rFont val="Arial"/>
            <family val="2"/>
          </rPr>
          <t>My Friends Tigger And Pooh</t>
        </r>
        <r>
          <rPr>
            <sz val="10"/>
            <rFont val="Noto Sans CJK SC"/>
            <family val="2"/>
          </rPr>
          <t>』（ポリゴン・ピクチュアズ）。
出典：</t>
        </r>
        <r>
          <rPr>
            <sz val="10"/>
            <rFont val="Arial"/>
            <family val="2"/>
          </rPr>
          <t>https://www.dhw.ac.jp/feature/teacher/furuiwa/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5" authorId="0" shapeId="0" xr:uid="{00000000-0006-0000-0700-000001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【修正提案】
「入門・中級・上級の</t>
        </r>
        <r>
          <rPr>
            <sz val="10"/>
            <rFont val="Arial"/>
            <family val="2"/>
          </rPr>
          <t>3</t>
        </r>
        <r>
          <rPr>
            <sz val="10"/>
            <rFont val="Noto Sans CJK SC"/>
            <family val="2"/>
          </rPr>
          <t>階層」の説明を以下に整合させること。
【修正文案】
企業ゼミ（入門）・クリエイティブ分野別ゼミ（中級）・</t>
        </r>
        <r>
          <rPr>
            <sz val="10"/>
            <rFont val="Arial"/>
            <family val="2"/>
          </rPr>
          <t>VP</t>
        </r>
        <r>
          <rPr>
            <sz val="10"/>
            <rFont val="Noto Sans CJK SC"/>
            <family val="2"/>
          </rPr>
          <t>専門プログラム（上級）の</t>
        </r>
        <r>
          <rPr>
            <sz val="10"/>
            <rFont val="Arial"/>
            <family val="2"/>
          </rPr>
          <t>3</t>
        </r>
        <r>
          <rPr>
            <sz val="10"/>
            <rFont val="Noto Sans CJK SC"/>
            <family val="2"/>
          </rPr>
          <t>層</t>
        </r>
        <r>
          <rPr>
            <sz val="10"/>
            <rFont val="Arial"/>
            <family val="2"/>
          </rPr>
          <t>×3</t>
        </r>
        <r>
          <rPr>
            <sz val="10"/>
            <rFont val="Noto Sans CJK SC"/>
            <family val="2"/>
          </rPr>
          <t>年</t>
        </r>
        <r>
          <rPr>
            <sz val="10"/>
            <rFont val="Arial"/>
            <family val="2"/>
          </rPr>
          <t>×</t>
        </r>
        <r>
          <rPr>
            <sz val="10"/>
            <rFont val="Noto Sans CJK SC"/>
            <family val="2"/>
          </rPr>
          <t>複数開講＋</t>
        </r>
        <r>
          <rPr>
            <sz val="10"/>
            <rFont val="Arial"/>
            <family val="2"/>
          </rPr>
          <t>FD</t>
        </r>
        <r>
          <rPr>
            <sz val="10"/>
            <rFont val="Noto Sans CJK SC"/>
            <family val="2"/>
          </rPr>
          <t>研修（年</t>
        </r>
        <r>
          <rPr>
            <sz val="10"/>
            <rFont val="Arial"/>
            <family val="2"/>
          </rPr>
          <t>2</t>
        </r>
        <r>
          <rPr>
            <sz val="10"/>
            <rFont val="Noto Sans CJK SC"/>
            <family val="2"/>
          </rPr>
          <t>回</t>
        </r>
        <r>
          <rPr>
            <sz val="10"/>
            <rFont val="Arial"/>
            <family val="2"/>
          </rPr>
          <t>×3</t>
        </r>
        <r>
          <rPr>
            <sz val="10"/>
            <rFont val="Noto Sans CJK SC"/>
            <family val="2"/>
          </rPr>
          <t>年）＋出前授業（年</t>
        </r>
        <r>
          <rPr>
            <sz val="10"/>
            <rFont val="Arial"/>
            <family val="2"/>
          </rPr>
          <t>4</t>
        </r>
        <r>
          <rPr>
            <sz val="10"/>
            <rFont val="Noto Sans CJK SC"/>
            <family val="2"/>
          </rPr>
          <t>回</t>
        </r>
        <r>
          <rPr>
            <sz val="10"/>
            <rFont val="Arial"/>
            <family val="2"/>
          </rPr>
          <t>×3</t>
        </r>
        <r>
          <rPr>
            <sz val="10"/>
            <rFont val="Noto Sans CJK SC"/>
            <family val="2"/>
          </rPr>
          <t>年）＋サマースクール（年</t>
        </r>
        <r>
          <rPr>
            <sz val="10"/>
            <rFont val="Arial"/>
            <family val="2"/>
          </rPr>
          <t>1</t>
        </r>
        <r>
          <rPr>
            <sz val="10"/>
            <rFont val="Noto Sans CJK SC"/>
            <family val="2"/>
          </rPr>
          <t>回</t>
        </r>
        <r>
          <rPr>
            <sz val="10"/>
            <rFont val="Arial"/>
            <family val="2"/>
          </rPr>
          <t>×3</t>
        </r>
        <r>
          <rPr>
            <sz val="10"/>
            <rFont val="Noto Sans CJK SC"/>
            <family val="2"/>
          </rPr>
          <t>年）＋研究会／シンポジウム等を含む。</t>
        </r>
        <r>
          <rPr>
            <sz val="10"/>
            <rFont val="Arial"/>
            <family val="2"/>
          </rPr>
          <t>3</t>
        </r>
        <r>
          <rPr>
            <sz val="10"/>
            <rFont val="Noto Sans CJK SC"/>
            <family val="2"/>
          </rPr>
          <t>年間で</t>
        </r>
        <r>
          <rPr>
            <sz val="10"/>
            <rFont val="Arial"/>
            <family val="2"/>
          </rPr>
          <t>30</t>
        </r>
        <r>
          <rPr>
            <sz val="10"/>
            <rFont val="Noto Sans CJK SC"/>
            <family val="2"/>
          </rPr>
          <t>件以上のプログラム実施を計画。</t>
        </r>
      </text>
    </comment>
    <comment ref="E9" authorId="0" shapeId="0" xr:uid="{00000000-0006-0000-0700-000002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【修正文案（そのまま差し替え可）】
全国大学・専門学校</t>
        </r>
        <r>
          <rPr>
            <sz val="10"/>
            <rFont val="Arial"/>
            <family val="2"/>
          </rPr>
          <t>30</t>
        </r>
        <r>
          <rPr>
            <sz val="10"/>
            <rFont val="Noto Sans CJK SC"/>
            <family val="2"/>
          </rPr>
          <t>機関以上、中等教育機関</t>
        </r>
        <r>
          <rPr>
            <sz val="10"/>
            <rFont val="Arial"/>
            <family val="2"/>
          </rPr>
          <t>60</t>
        </r>
        <r>
          <rPr>
            <sz val="10"/>
            <rFont val="Noto Sans CJK SC"/>
            <family val="2"/>
          </rPr>
          <t>校以上、業界横断連携企業群（</t>
        </r>
        <r>
          <rPr>
            <sz val="10"/>
            <rFont val="Arial"/>
            <family val="2"/>
          </rPr>
          <t>5</t>
        </r>
        <r>
          <rPr>
            <sz val="10"/>
            <rFont val="Noto Sans CJK SC"/>
            <family val="2"/>
          </rPr>
          <t>領域）と業界団体（</t>
        </r>
        <r>
          <rPr>
            <sz val="10"/>
            <rFont val="Arial"/>
            <family val="2"/>
          </rPr>
          <t>CESA</t>
        </r>
        <r>
          <rPr>
            <sz val="10"/>
            <rFont val="Noto Sans CJK SC"/>
            <family val="2"/>
          </rPr>
          <t>等）合計</t>
        </r>
        <r>
          <rPr>
            <sz val="10"/>
            <rFont val="Arial"/>
            <family val="2"/>
          </rPr>
          <t>10</t>
        </r>
        <r>
          <rPr>
            <sz val="10"/>
            <rFont val="Noto Sans CJK SC"/>
            <family val="2"/>
          </rPr>
          <t>団体以上、関係省庁（経済産業省・文化庁・内閣府）</t>
        </r>
        <r>
          <rPr>
            <sz val="10"/>
            <rFont val="Arial"/>
            <family val="2"/>
          </rPr>
          <t>3</t>
        </r>
        <r>
          <rPr>
            <sz val="10"/>
            <rFont val="Noto Sans CJK SC"/>
            <family val="2"/>
          </rPr>
          <t>省庁以上への報告。本学既存ネットワークおよびベネッセ</t>
        </r>
        <r>
          <rPr>
            <sz val="10"/>
            <rFont val="Arial"/>
            <family val="2"/>
          </rPr>
          <t>AI</t>
        </r>
        <r>
          <rPr>
            <sz val="10"/>
            <rFont val="Noto Sans CJK SC"/>
            <family val="2"/>
          </rPr>
          <t>教育研究所の全国教育機関ネットワークを活用して達成。
※削除：「</t>
        </r>
        <r>
          <rPr>
            <sz val="10"/>
            <rFont val="Arial"/>
            <family val="2"/>
          </rPr>
          <t>VFX-JAPAN</t>
        </r>
        <r>
          <rPr>
            <sz val="10"/>
            <rFont val="Noto Sans CJK SC"/>
            <family val="2"/>
          </rPr>
          <t>等」</t>
        </r>
      </text>
    </comment>
    <comment ref="E14" authorId="0" shapeId="0" xr:uid="{00000000-0006-0000-0700-000003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【修正文案（そのまま差し替え可）】
入門</t>
        </r>
        <r>
          <rPr>
            <sz val="10"/>
            <rFont val="Arial"/>
            <family val="2"/>
          </rPr>
          <t>600</t>
        </r>
        <r>
          <rPr>
            <sz val="10"/>
            <rFont val="Noto Sans CJK SC"/>
            <family val="2"/>
          </rPr>
          <t>名（年</t>
        </r>
        <r>
          <rPr>
            <sz val="10"/>
            <rFont val="Arial"/>
            <family val="2"/>
          </rPr>
          <t>200</t>
        </r>
        <r>
          <rPr>
            <sz val="10"/>
            <rFont val="Noto Sans CJK SC"/>
            <family val="2"/>
          </rPr>
          <t>名</t>
        </r>
        <r>
          <rPr>
            <sz val="10"/>
            <rFont val="Arial"/>
            <family val="2"/>
          </rPr>
          <t>×3</t>
        </r>
        <r>
          <rPr>
            <sz val="10"/>
            <rFont val="Noto Sans CJK SC"/>
            <family val="2"/>
          </rPr>
          <t>年）＋中級</t>
        </r>
        <r>
          <rPr>
            <sz val="10"/>
            <rFont val="Arial"/>
            <family val="2"/>
          </rPr>
          <t>150</t>
        </r>
        <r>
          <rPr>
            <sz val="10"/>
            <rFont val="Noto Sans CJK SC"/>
            <family val="2"/>
          </rPr>
          <t>名（年</t>
        </r>
        <r>
          <rPr>
            <sz val="10"/>
            <rFont val="Arial"/>
            <family val="2"/>
          </rPr>
          <t>50</t>
        </r>
        <r>
          <rPr>
            <sz val="10"/>
            <rFont val="Noto Sans CJK SC"/>
            <family val="2"/>
          </rPr>
          <t>名</t>
        </r>
        <r>
          <rPr>
            <sz val="10"/>
            <rFont val="Arial"/>
            <family val="2"/>
          </rPr>
          <t>×3</t>
        </r>
        <r>
          <rPr>
            <sz val="10"/>
            <rFont val="Noto Sans CJK SC"/>
            <family val="2"/>
          </rPr>
          <t>年）＋上級</t>
        </r>
        <r>
          <rPr>
            <sz val="10"/>
            <rFont val="Arial"/>
            <family val="2"/>
          </rPr>
          <t>60</t>
        </r>
        <r>
          <rPr>
            <sz val="10"/>
            <rFont val="Noto Sans CJK SC"/>
            <family val="2"/>
          </rPr>
          <t>名（年</t>
        </r>
        <r>
          <rPr>
            <sz val="10"/>
            <rFont val="Arial"/>
            <family val="2"/>
          </rPr>
          <t>20</t>
        </r>
        <r>
          <rPr>
            <sz val="10"/>
            <rFont val="Noto Sans CJK SC"/>
            <family val="2"/>
          </rPr>
          <t>名</t>
        </r>
        <r>
          <rPr>
            <sz val="10"/>
            <rFont val="Arial"/>
            <family val="2"/>
          </rPr>
          <t>×3</t>
        </r>
        <r>
          <rPr>
            <sz val="10"/>
            <rFont val="Noto Sans CJK SC"/>
            <family val="2"/>
          </rPr>
          <t>年）の</t>
        </r>
        <r>
          <rPr>
            <sz val="10"/>
            <rFont val="Arial"/>
            <family val="2"/>
          </rPr>
          <t>3</t>
        </r>
        <r>
          <rPr>
            <sz val="10"/>
            <rFont val="Noto Sans CJK SC"/>
            <family val="2"/>
          </rPr>
          <t>階層構成。本学が</t>
        </r>
        <r>
          <rPr>
            <sz val="10"/>
            <rFont val="Arial"/>
            <family val="2"/>
          </rPr>
          <t>30</t>
        </r>
        <r>
          <rPr>
            <sz val="10"/>
            <rFont val="Noto Sans CJK SC"/>
            <family val="2"/>
          </rPr>
          <t>年で累計</t>
        </r>
        <r>
          <rPr>
            <sz val="10"/>
            <rFont val="Arial"/>
            <family val="2"/>
          </rPr>
          <t>9</t>
        </r>
        <r>
          <rPr>
            <sz val="10"/>
            <rFont val="Noto Sans CJK SC"/>
            <family val="2"/>
          </rPr>
          <t>万人以上を輩出してきた教育実績、現役実務家教員による実践型教育、</t>
        </r>
        <r>
          <rPr>
            <sz val="10"/>
            <rFont val="Arial"/>
            <family val="2"/>
          </rPr>
          <t>PBL</t>
        </r>
        <r>
          <rPr>
            <sz val="10"/>
            <rFont val="Noto Sans CJK SC"/>
            <family val="2"/>
          </rPr>
          <t>・企業連携教育の即戦力人材輩出実績、令和</t>
        </r>
        <r>
          <rPr>
            <sz val="10"/>
            <rFont val="Arial"/>
            <family val="2"/>
          </rPr>
          <t>8</t>
        </r>
        <r>
          <rPr>
            <sz val="10"/>
            <rFont val="Noto Sans CJK SC"/>
            <family val="2"/>
          </rPr>
          <t>年</t>
        </r>
        <r>
          <rPr>
            <sz val="10"/>
            <rFont val="Arial"/>
            <family val="2"/>
          </rPr>
          <t>2</t>
        </r>
        <r>
          <rPr>
            <sz val="10"/>
            <rFont val="Noto Sans CJK SC"/>
            <family val="2"/>
          </rPr>
          <t>月稼働の</t>
        </r>
        <r>
          <rPr>
            <sz val="10"/>
            <rFont val="Arial"/>
            <family val="2"/>
          </rPr>
          <t>LED</t>
        </r>
        <r>
          <rPr>
            <sz val="10"/>
            <rFont val="Noto Sans CJK SC"/>
            <family val="2"/>
          </rPr>
          <t>ウォール環境（</t>
        </r>
        <r>
          <rPr>
            <sz val="10"/>
            <rFont val="Arial"/>
            <family val="2"/>
          </rPr>
          <t>W6.5m×H2.5m</t>
        </r>
        <r>
          <rPr>
            <sz val="10"/>
            <rFont val="Noto Sans CJK SC"/>
            <family val="2"/>
          </rPr>
          <t>、ピッチ</t>
        </r>
        <r>
          <rPr>
            <sz val="10"/>
            <rFont val="Arial"/>
            <family val="2"/>
          </rPr>
          <t>1.9mm</t>
        </r>
        <r>
          <rPr>
            <sz val="10"/>
            <rFont val="Noto Sans CJK SC"/>
            <family val="2"/>
          </rPr>
          <t>）、およびベネッセ</t>
        </r>
        <r>
          <rPr>
            <sz val="10"/>
            <rFont val="Arial"/>
            <family val="2"/>
          </rPr>
          <t>AI</t>
        </r>
        <r>
          <rPr>
            <sz val="10"/>
            <rFont val="Noto Sans CJK SC"/>
            <family val="2"/>
          </rPr>
          <t>教育研究所との共催企業ゼミによる広範な人材受け入れ基盤に基づき設定。
※削除：「</t>
        </r>
        <r>
          <rPr>
            <sz val="10"/>
            <rFont val="Arial"/>
            <family val="2"/>
          </rPr>
          <t>AI</t>
        </r>
        <r>
          <rPr>
            <sz val="10"/>
            <rFont val="Noto Sans CJK SC"/>
            <family val="2"/>
          </rPr>
          <t>環境（高性能</t>
        </r>
        <r>
          <rPr>
            <sz val="10"/>
            <rFont val="Arial"/>
            <family val="2"/>
          </rPr>
          <t>PC250</t>
        </r>
        <r>
          <rPr>
            <sz val="10"/>
            <rFont val="Noto Sans CJK SC"/>
            <family val="2"/>
          </rPr>
          <t>台）」「大学院</t>
        </r>
        <r>
          <rPr>
            <sz val="10"/>
            <rFont val="Arial"/>
            <family val="2"/>
          </rPr>
          <t>4</t>
        </r>
        <r>
          <rPr>
            <sz val="10"/>
            <rFont val="Noto Sans CJK SC"/>
            <family val="2"/>
          </rPr>
          <t>ラボの研究基盤」</t>
        </r>
      </text>
    </comment>
    <comment ref="E19" authorId="0" shapeId="0" xr:uid="{00000000-0006-0000-0700-000004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【修正文案（そのまま差し替え可）】
本学が</t>
        </r>
        <r>
          <rPr>
            <sz val="10"/>
            <rFont val="Arial"/>
            <family val="2"/>
          </rPr>
          <t>30</t>
        </r>
        <r>
          <rPr>
            <sz val="10"/>
            <rFont val="Noto Sans CJK SC"/>
            <family val="2"/>
          </rPr>
          <t>年・</t>
        </r>
        <r>
          <rPr>
            <sz val="10"/>
            <rFont val="Arial"/>
            <family val="2"/>
          </rPr>
          <t>9</t>
        </r>
        <r>
          <rPr>
            <sz val="10"/>
            <rFont val="Noto Sans CJK SC"/>
            <family val="2"/>
          </rPr>
          <t>万人以上の卒業生・修了生を輩出してきた実績を有し、</t>
        </r>
        <r>
          <rPr>
            <sz val="10"/>
            <rFont val="Arial"/>
            <family val="2"/>
          </rPr>
          <t>PBL</t>
        </r>
        <r>
          <rPr>
            <sz val="10"/>
            <rFont val="Noto Sans CJK SC"/>
            <family val="2"/>
          </rPr>
          <t>・企業連携教育を通じた即戦力人材輩出の実績に基づき設定。業界横断連携（</t>
        </r>
        <r>
          <rPr>
            <sz val="10"/>
            <rFont val="Arial"/>
            <family val="2"/>
          </rPr>
          <t>5</t>
        </r>
        <r>
          <rPr>
            <sz val="10"/>
            <rFont val="Noto Sans CJK SC"/>
            <family val="2"/>
          </rPr>
          <t>領域）による就業先の多様性が定着率向上に寄与。
※「輩出実績を有し」の前：「修了生」→「卒業生・修了生」に統一</t>
        </r>
      </text>
    </comment>
    <comment ref="E24" authorId="0" shapeId="0" xr:uid="{00000000-0006-0000-0700-000005000000}">
      <text>
        <r>
          <rPr>
            <sz val="10"/>
            <rFont val="Arial"/>
            <family val="2"/>
          </rPr>
          <t>[</t>
        </r>
        <r>
          <rPr>
            <sz val="10"/>
            <rFont val="Noto Sans CJK SC"/>
            <family val="2"/>
          </rPr>
          <t>スレッド化されたコメント</t>
        </r>
        <r>
          <rPr>
            <sz val="10"/>
            <rFont val="Arial"/>
            <family val="2"/>
          </rPr>
          <t xml:space="preserve">]
</t>
        </r>
        <r>
          <rPr>
            <sz val="10"/>
            <rFont val="Noto Sans CJK SC"/>
            <family val="2"/>
          </rPr>
          <t xml:space="preserve">使用している </t>
        </r>
        <r>
          <rPr>
            <sz val="10"/>
            <rFont val="Arial"/>
            <family val="2"/>
          </rPr>
          <t xml:space="preserve">Excel </t>
        </r>
        <r>
          <rPr>
            <sz val="10"/>
            <rFont val="Noto Sans CJK SC"/>
            <family val="2"/>
          </rPr>
          <t xml:space="preserve">のバージョンでは、このスレッド化されたコメントを表示できますが、新しいバージョンの </t>
        </r>
        <r>
          <rPr>
            <sz val="10"/>
            <rFont val="Arial"/>
            <family val="2"/>
          </rPr>
          <t xml:space="preserve">Excel </t>
        </r>
        <r>
          <rPr>
            <sz val="10"/>
            <rFont val="Noto Sans CJK SC"/>
            <family val="2"/>
          </rPr>
          <t>でファイルを開いた場合はコメントに対する編集がすべて削除されます。詳細</t>
        </r>
        <r>
          <rPr>
            <sz val="10"/>
            <rFont val="Arial"/>
            <family val="2"/>
          </rPr>
          <t xml:space="preserve">: https://go.microsoft.com/fwlink/?linkid=870924
</t>
        </r>
        <r>
          <rPr>
            <sz val="10"/>
            <rFont val="Noto Sans CJK SC"/>
            <family val="2"/>
          </rPr>
          <t>コメント</t>
        </r>
        <r>
          <rPr>
            <sz val="10"/>
            <rFont val="Arial"/>
            <family val="2"/>
          </rPr>
          <t xml:space="preserve">:
    </t>
        </r>
        <r>
          <rPr>
            <sz val="10"/>
            <rFont val="Noto Sans CJK SC"/>
            <family val="2"/>
          </rPr>
          <t>【修正文案（そのまま差し替え可）】
本学の</t>
        </r>
        <r>
          <rPr>
            <sz val="10"/>
            <rFont val="Arial"/>
            <family val="2"/>
          </rPr>
          <t>LED</t>
        </r>
        <r>
          <rPr>
            <sz val="10"/>
            <rFont val="Noto Sans CJK SC"/>
            <family val="2"/>
          </rPr>
          <t>ウォール環境・ベネッセ</t>
        </r>
        <r>
          <rPr>
            <sz val="10"/>
            <rFont val="Arial"/>
            <family val="2"/>
          </rPr>
          <t>AI</t>
        </r>
        <r>
          <rPr>
            <sz val="10"/>
            <rFont val="Noto Sans CJK SC"/>
            <family val="2"/>
          </rPr>
          <t>教育研究所との連携基盤を背景に、産業横断型</t>
        </r>
        <r>
          <rPr>
            <sz val="10"/>
            <rFont val="Arial"/>
            <family val="2"/>
          </rPr>
          <t>AI</t>
        </r>
        <r>
          <rPr>
            <sz val="10"/>
            <rFont val="Noto Sans CJK SC"/>
            <family val="2"/>
          </rPr>
          <t>ネイティブ・クリエイター教育モデルを公共財として展開する観点から設定。
※削除：「</t>
        </r>
        <r>
          <rPr>
            <sz val="10"/>
            <rFont val="Arial"/>
            <family val="2"/>
          </rPr>
          <t>AI</t>
        </r>
        <r>
          <rPr>
            <sz val="10"/>
            <rFont val="Noto Sans CJK SC"/>
            <family val="2"/>
          </rPr>
          <t>環境・大学院</t>
        </r>
        <r>
          <rPr>
            <sz val="10"/>
            <rFont val="Arial"/>
            <family val="2"/>
          </rPr>
          <t>4</t>
        </r>
        <r>
          <rPr>
            <sz val="10"/>
            <rFont val="Noto Sans CJK SC"/>
            <family val="2"/>
          </rPr>
          <t>ラボの研究基盤」
※「産業横断型</t>
        </r>
        <r>
          <rPr>
            <sz val="10"/>
            <rFont val="Arial"/>
            <family val="2"/>
          </rPr>
          <t>3DCG</t>
        </r>
        <r>
          <rPr>
            <sz val="10"/>
            <rFont val="Noto Sans CJK SC"/>
            <family val="2"/>
          </rPr>
          <t>制作中核人材育成モデル」→「産業横断型</t>
        </r>
        <r>
          <rPr>
            <sz val="10"/>
            <rFont val="Arial"/>
            <family val="2"/>
          </rPr>
          <t>AI</t>
        </r>
        <r>
          <rPr>
            <sz val="10"/>
            <rFont val="Noto Sans CJK SC"/>
            <family val="2"/>
          </rPr>
          <t>ネイティブ・クリエイター教育モデル」に統一（</t>
        </r>
        <r>
          <rPr>
            <sz val="10"/>
            <rFont val="Arial"/>
            <family val="2"/>
          </rPr>
          <t>PPT</t>
        </r>
        <r>
          <rPr>
            <sz val="10"/>
            <rFont val="Noto Sans CJK SC"/>
            <family val="2"/>
          </rPr>
          <t>方針整合）</t>
        </r>
      </text>
    </comment>
  </commentList>
</comments>
</file>

<file path=xl/sharedStrings.xml><?xml version="1.0" encoding="utf-8"?>
<sst xmlns="http://schemas.openxmlformats.org/spreadsheetml/2006/main" count="1746" uniqueCount="764">
  <si>
    <t>文化芸術活動基盤強化基金</t>
  </si>
  <si>
    <t>クエリエイター等育成支援　コンテンツ制作・発信を支える中核的専門人材育成・確保等</t>
  </si>
  <si>
    <t>【補助型】</t>
  </si>
  <si>
    <t>助  成  金  交  付  要  望  書</t>
  </si>
  <si>
    <t>令和８年　　月　　日</t>
  </si>
  <si>
    <t>独立行政法人日本芸術文化振興会理事長　殿</t>
  </si>
  <si>
    <t>（申請者）</t>
  </si>
  <si>
    <t>団　体　名</t>
  </si>
  <si>
    <t>デジタルハリウッド株式会社</t>
  </si>
  <si>
    <t>〒</t>
  </si>
  <si>
    <t>〒101-0062</t>
  </si>
  <si>
    <t>住所（所在地）</t>
  </si>
  <si>
    <t>東京都千代田区神田駿河台4-6 御茶ノ水ソラシティ アカデミア 4F</t>
  </si>
  <si>
    <t>代表者の職名・氏名</t>
  </si>
  <si>
    <t>代表取締役社長兼CEO　藤井雅徳</t>
  </si>
  <si>
    <t>　下記の事業を行いたいので、文化芸術活動基盤強化基金助成金交付要綱第３条に基づき、助成金の交付を要望します。</t>
  </si>
  <si>
    <t>記</t>
  </si>
  <si>
    <t>１．プロジェクト名
プロジェクト名は採択時の公表資料に
掲載されますのでご留意ください</t>
  </si>
  <si>
    <r>
      <rPr>
        <sz val="12"/>
        <rFont val="ＭＳ Ｐゴシック"/>
        <family val="3"/>
        <charset val="128"/>
      </rPr>
      <t>AI</t>
    </r>
    <r>
      <rPr>
        <sz val="12"/>
        <rFont val="Noto Sans CJK SC"/>
        <family val="2"/>
      </rPr>
      <t>・バーチャルプロダクションを活用した</t>
    </r>
    <r>
      <rPr>
        <sz val="12"/>
        <rFont val="ＭＳ Ｐゴシック"/>
        <family val="3"/>
        <charset val="128"/>
      </rPr>
      <t>3DCG</t>
    </r>
    <r>
      <rPr>
        <sz val="12"/>
        <rFont val="Noto Sans CJK SC"/>
        <family val="2"/>
      </rPr>
      <t xml:space="preserve">制作人材育成事業 
─ </t>
    </r>
    <r>
      <rPr>
        <sz val="12"/>
        <rFont val="ＭＳ Ｐゴシック"/>
        <family val="3"/>
        <charset val="128"/>
      </rPr>
      <t>AI</t>
    </r>
    <r>
      <rPr>
        <sz val="12"/>
        <rFont val="Noto Sans CJK SC"/>
        <family val="2"/>
      </rPr>
      <t>時代の</t>
    </r>
    <r>
      <rPr>
        <sz val="12"/>
        <rFont val="ＭＳ Ｐゴシック"/>
        <family val="3"/>
        <charset val="128"/>
      </rPr>
      <t>3DCG</t>
    </r>
    <r>
      <rPr>
        <sz val="12"/>
        <rFont val="Noto Sans CJK SC"/>
        <family val="2"/>
      </rPr>
      <t>制作フロー高度化を担う中核人材の育成 ─</t>
    </r>
  </si>
  <si>
    <t>単願</t>
  </si>
  <si>
    <t>２．実 施 期 間</t>
  </si>
  <si>
    <t>交付内定日～令和１１年３月３１日</t>
  </si>
  <si>
    <t>３．対 象 分 野</t>
  </si>
  <si>
    <t>映像</t>
  </si>
  <si>
    <t>「その他」の場合、右欄に当該分野名を記載してください</t>
  </si>
  <si>
    <t>４．要　望　額　</t>
  </si>
  <si>
    <t>千円</t>
  </si>
  <si>
    <t>【責任者・担当者連絡先】</t>
  </si>
  <si>
    <t>事業責任者</t>
  </si>
  <si>
    <t>所属・職名</t>
  </si>
  <si>
    <t>デジタルハリウッド大学 学長</t>
  </si>
  <si>
    <t>電話</t>
  </si>
  <si>
    <t>【要記入：電話】</t>
  </si>
  <si>
    <t>フリガナ</t>
  </si>
  <si>
    <t>フジイ ナオタカ</t>
  </si>
  <si>
    <t>メールアドレス</t>
  </si>
  <si>
    <t>【要記入：メール】</t>
  </si>
  <si>
    <t>氏名</t>
  </si>
  <si>
    <t>藤井 直敬</t>
  </si>
  <si>
    <t>経理責任者</t>
  </si>
  <si>
    <t>【要記入：所属・職名】</t>
  </si>
  <si>
    <t>【要記入：フリガナ】</t>
  </si>
  <si>
    <t>【要記入：氏名】</t>
  </si>
  <si>
    <t>事務担当者</t>
  </si>
  <si>
    <t>資料の
送付先</t>
  </si>
  <si>
    <t>〒101-0062 東京都千代田区神田駿河台4-6 御茶ノ水ソラシティ アカデミア 4F</t>
  </si>
  <si>
    <t>※連携先については「７．連携先」にご記載ください。</t>
  </si>
  <si>
    <t>※　Ａ４判１枚に収まるように作成してください。</t>
  </si>
  <si>
    <t>１．団体の概要　※審査要領１．審査項目「① 組織」にも留意</t>
  </si>
  <si>
    <t>デジタルハリウッドカブシキガイシャ</t>
  </si>
  <si>
    <t>団体名</t>
  </si>
  <si>
    <t>デジタルハリウッド株式会社（事業主体：デジタルハリウッド大学・大学院）</t>
  </si>
  <si>
    <t>代表者役職名</t>
  </si>
  <si>
    <t>代表取締役社長兼CEO</t>
  </si>
  <si>
    <t>フジイ マサノリ</t>
  </si>
  <si>
    <t>代表者氏名</t>
  </si>
  <si>
    <t>藤井 雅徳</t>
  </si>
  <si>
    <t>郵便番号</t>
  </si>
  <si>
    <t>101</t>
  </si>
  <si>
    <t>―</t>
  </si>
  <si>
    <t>0062</t>
  </si>
  <si>
    <t>03-5289-9230</t>
  </si>
  <si>
    <t>住所</t>
  </si>
  <si>
    <t>fujiimasanori@dhw.co.jp</t>
  </si>
  <si>
    <t>ウェブサイト</t>
  </si>
  <si>
    <t>https://www.dhw.ac.jp/</t>
  </si>
  <si>
    <t>団体の種類</t>
  </si>
  <si>
    <t>その他法人</t>
  </si>
  <si>
    <t>株式会社</t>
  </si>
  <si>
    <r>
      <rPr>
        <sz val="12"/>
        <rFont val="ＭＳ Ｐゴシック"/>
        <family val="3"/>
        <charset val="128"/>
      </rPr>
      <t>[</t>
    </r>
    <r>
      <rPr>
        <sz val="12"/>
        <rFont val="Noto Sans CJK SC"/>
        <family val="2"/>
      </rPr>
      <t>その他の法人の場合は括弧内に具体的な種類名を記入</t>
    </r>
    <r>
      <rPr>
        <sz val="12"/>
        <rFont val="ＭＳ Ｐゴシック"/>
        <family val="3"/>
        <charset val="128"/>
      </rPr>
      <t>]</t>
    </r>
  </si>
  <si>
    <t>公益財団法人</t>
  </si>
  <si>
    <t>公益社団法人</t>
  </si>
  <si>
    <t>一般財団法人</t>
  </si>
  <si>
    <t>一般社団法人</t>
  </si>
  <si>
    <t>認定特定非営利活動法人</t>
  </si>
  <si>
    <t>特定非営利活動法人</t>
  </si>
  <si>
    <t>合同会社</t>
  </si>
  <si>
    <t>有限会社</t>
  </si>
  <si>
    <t>団体設立年月</t>
  </si>
  <si>
    <r>
      <rPr>
        <sz val="12"/>
        <rFont val="ＭＳ Ｐゴシック"/>
        <family val="3"/>
        <charset val="128"/>
      </rPr>
      <t>2005</t>
    </r>
    <r>
      <rPr>
        <sz val="12"/>
        <rFont val="Noto Sans CJK SC"/>
        <family val="2"/>
      </rPr>
      <t>年</t>
    </r>
    <r>
      <rPr>
        <sz val="12"/>
        <rFont val="ＭＳ Ｐゴシック"/>
        <family val="3"/>
        <charset val="128"/>
      </rPr>
      <t>4</t>
    </r>
    <r>
      <rPr>
        <sz val="12"/>
        <rFont val="Noto Sans CJK SC"/>
        <family val="2"/>
      </rPr>
      <t>月</t>
    </r>
  </si>
  <si>
    <t>法人設立年月</t>
  </si>
  <si>
    <r>
      <rPr>
        <sz val="12"/>
        <rFont val="ＭＳ Ｐゴシック"/>
        <family val="3"/>
        <charset val="128"/>
      </rPr>
      <t>1994</t>
    </r>
    <r>
      <rPr>
        <sz val="12"/>
        <rFont val="Noto Sans CJK SC"/>
        <family val="2"/>
      </rPr>
      <t>年</t>
    </r>
    <r>
      <rPr>
        <sz val="12"/>
        <rFont val="ＭＳ Ｐゴシック"/>
        <family val="3"/>
        <charset val="128"/>
      </rPr>
      <t>10</t>
    </r>
    <r>
      <rPr>
        <sz val="12"/>
        <rFont val="Noto Sans CJK SC"/>
        <family val="2"/>
      </rPr>
      <t>月</t>
    </r>
    <r>
      <rPr>
        <sz val="12"/>
        <rFont val="ＭＳ Ｐゴシック"/>
        <family val="3"/>
        <charset val="128"/>
      </rPr>
      <t>3</t>
    </r>
    <r>
      <rPr>
        <sz val="12"/>
        <rFont val="Noto Sans CJK SC"/>
        <family val="2"/>
      </rPr>
      <t>日</t>
    </r>
  </si>
  <si>
    <t>【法人番号13桁】</t>
  </si>
  <si>
    <t>団体の体制</t>
  </si>
  <si>
    <t>役　　職　　員</t>
  </si>
  <si>
    <t>左記以外の構成員</t>
  </si>
  <si>
    <t>【要記入：教員数〇名、職員数〇名（大学の体制を記入）】</t>
  </si>
  <si>
    <t>【要記入：左記以外の構成員】</t>
  </si>
  <si>
    <t>経理担当者</t>
  </si>
  <si>
    <t>経理担当者氏名</t>
  </si>
  <si>
    <t>監査担当者</t>
  </si>
  <si>
    <t>監査担当者氏名</t>
  </si>
  <si>
    <t>沿　革</t>
  </si>
  <si>
    <r>
      <rPr>
        <sz val="12"/>
        <rFont val="ＭＳ Ｐゴシック"/>
        <family val="3"/>
        <charset val="128"/>
      </rPr>
      <t>1994</t>
    </r>
    <r>
      <rPr>
        <sz val="12"/>
        <rFont val="Noto Sans CJK SC"/>
        <family val="2"/>
      </rPr>
      <t>年</t>
    </r>
    <r>
      <rPr>
        <sz val="12"/>
        <rFont val="ＭＳ Ｐゴシック"/>
        <family val="3"/>
        <charset val="128"/>
      </rPr>
      <t>10</t>
    </r>
    <r>
      <rPr>
        <sz val="12"/>
        <rFont val="Noto Sans CJK SC"/>
        <family val="2"/>
      </rPr>
      <t>月デジタルハリウッド株式会社設立、デジタルハリウッド</t>
    </r>
    <r>
      <rPr>
        <sz val="12"/>
        <rFont val="ＭＳ Ｐゴシック"/>
        <family val="3"/>
        <charset val="128"/>
      </rPr>
      <t>THE MULTIMEDIA SCHOOL</t>
    </r>
    <r>
      <rPr>
        <sz val="12"/>
        <rFont val="Noto Sans CJK SC"/>
        <family val="2"/>
      </rPr>
      <t>を開校（東京都千代田区）。</t>
    </r>
    <r>
      <rPr>
        <sz val="12"/>
        <rFont val="ＭＳ Ｐゴシック"/>
        <family val="3"/>
        <charset val="128"/>
      </rPr>
      <t>2004</t>
    </r>
    <r>
      <rPr>
        <sz val="12"/>
        <rFont val="Noto Sans CJK SC"/>
        <family val="2"/>
      </rPr>
      <t>年デジタルハリウッド大学院大学を開学（日本初の株式会社立専門職大学院）。</t>
    </r>
    <r>
      <rPr>
        <sz val="12"/>
        <rFont val="ＭＳ Ｐゴシック"/>
        <family val="3"/>
        <charset val="128"/>
      </rPr>
      <t>2005</t>
    </r>
    <r>
      <rPr>
        <sz val="12"/>
        <rFont val="Noto Sans CJK SC"/>
        <family val="2"/>
      </rPr>
      <t>年デジタルハリウッド大学を開学（株式会社立大学）。</t>
    </r>
    <r>
      <rPr>
        <sz val="12"/>
        <rFont val="ＭＳ Ｐゴシック"/>
        <family val="3"/>
        <charset val="128"/>
      </rPr>
      <t>2010</t>
    </r>
    <r>
      <rPr>
        <sz val="12"/>
        <rFont val="Noto Sans CJK SC"/>
        <family val="2"/>
      </rPr>
      <t>年・</t>
    </r>
    <r>
      <rPr>
        <sz val="12"/>
        <rFont val="ＭＳ Ｐゴシック"/>
        <family val="3"/>
        <charset val="128"/>
      </rPr>
      <t>2018</t>
    </r>
    <r>
      <rPr>
        <sz val="12"/>
        <rFont val="Noto Sans CJK SC"/>
        <family val="2"/>
      </rPr>
      <t>年大学基準協会／日本高等教育評価機構による大学機関別認証評価（適合）。</t>
    </r>
    <r>
      <rPr>
        <sz val="12"/>
        <rFont val="ＭＳ Ｐゴシック"/>
        <family val="3"/>
        <charset val="128"/>
      </rPr>
      <t>2013</t>
    </r>
    <r>
      <rPr>
        <sz val="12"/>
        <rFont val="Noto Sans CJK SC"/>
        <family val="2"/>
      </rPr>
      <t>年東京本校およびデジタルハリウッド大学を御茶ノ水ソラシティ アカデミアへ移転。</t>
    </r>
    <r>
      <rPr>
        <sz val="12"/>
        <rFont val="ＭＳ Ｐゴシック"/>
        <family val="3"/>
        <charset val="128"/>
      </rPr>
      <t>2025</t>
    </r>
    <r>
      <rPr>
        <sz val="12"/>
        <rFont val="Noto Sans CJK SC"/>
        <family val="2"/>
      </rPr>
      <t>年　主要株主が株式会社ベネッセホールディングスに交代。</t>
    </r>
    <r>
      <rPr>
        <sz val="12"/>
        <rFont val="ＭＳ Ｐゴシック"/>
        <family val="3"/>
        <charset val="128"/>
      </rPr>
      <t>2026</t>
    </r>
    <r>
      <rPr>
        <sz val="12"/>
        <rFont val="Noto Sans CJK SC"/>
        <family val="2"/>
      </rPr>
      <t>年</t>
    </r>
    <r>
      <rPr>
        <sz val="12"/>
        <rFont val="ＭＳ Ｐゴシック"/>
        <family val="3"/>
        <charset val="128"/>
      </rPr>
      <t>4</t>
    </r>
    <r>
      <rPr>
        <sz val="12"/>
        <rFont val="Noto Sans CJK SC"/>
        <family val="2"/>
      </rPr>
      <t>月　第</t>
    </r>
    <r>
      <rPr>
        <sz val="12"/>
        <rFont val="ＭＳ Ｐゴシック"/>
        <family val="3"/>
        <charset val="128"/>
      </rPr>
      <t>2</t>
    </r>
    <r>
      <rPr>
        <sz val="12"/>
        <rFont val="Noto Sans CJK SC"/>
        <family val="2"/>
      </rPr>
      <t>代学長として藤井直敬が就任（初代：杉山知之／</t>
    </r>
    <r>
      <rPr>
        <sz val="12"/>
        <rFont val="ＭＳ Ｐゴシック"/>
        <family val="3"/>
        <charset val="128"/>
      </rPr>
      <t>2005-2026</t>
    </r>
    <r>
      <rPr>
        <sz val="12"/>
        <rFont val="Noto Sans CJK SC"/>
        <family val="2"/>
      </rPr>
      <t>）。創設以来</t>
    </r>
    <r>
      <rPr>
        <sz val="12"/>
        <rFont val="ＭＳ Ｐゴシック"/>
        <family val="3"/>
        <charset val="128"/>
      </rPr>
      <t>30</t>
    </r>
    <r>
      <rPr>
        <sz val="12"/>
        <rFont val="Noto Sans CJK SC"/>
        <family val="2"/>
      </rPr>
      <t>年、累計</t>
    </r>
    <r>
      <rPr>
        <sz val="12"/>
        <rFont val="ＭＳ Ｐゴシック"/>
        <family val="3"/>
        <charset val="128"/>
      </rPr>
      <t>9</t>
    </r>
    <r>
      <rPr>
        <sz val="12"/>
        <rFont val="Noto Sans CJK SC"/>
        <family val="2"/>
      </rPr>
      <t>万人以上の卒業生・受講生を輩出。</t>
    </r>
  </si>
  <si>
    <t>設立の趣旨・目的、理念</t>
  </si>
  <si>
    <t>建学の精神「Entertainment. It's Everything.（すべてをエンタテインメントにせよ。）」のもと、デジタルテクノロジーを駆使してエンタテインメントを創造する人材を育成する。産業界と直結した実践型カリキュラム、現役実務家教員による教育、企業連携型PBL、社会人向けリスキリング支援を通じて、即戦力となるクリエイター・プロデューサーを継続的に輩出し、日本のコンテンツ産業の競争力強化と文化の発信に寄与することを目的とする。2026年4月就任の第2代学長 藤井直敬は「世界を満たせ。Fill the world.」を新たな合言葉として掲げ、AI時代に「主体的に定義し、創造する」人材育成を強化している。</t>
  </si>
  <si>
    <t>過去の取組とその実績</t>
  </si>
  <si>
    <t>運営法人デジタルハリウッド株式会社（1994年設立）は累計9万人以上の卒業生・受講生を輩出してきた基盤を有する。本学（大学院2004年・大学2005年開学）は、現役実務家教員による実践型教育、企業連携型PBL、社会人向けリスキリング支援を通じて即戦力人材を業界に送出し、修了生は映像・アニメ・ゲーム・VFX・CG等で活躍。2024年に本学修了生作品が学生アカデミー賞アニメーション部門銀賞（日本作品初）を受賞、2025年に文部科学省MDASH（リテラシーレベルプラス）認定および経済産業省調査による大学発ベンチャー創出実績で全国15位（私立6位）。</t>
  </si>
  <si>
    <t>直近の文化庁及び他省庁等の支援事業への応募</t>
  </si>
  <si>
    <t>名称</t>
  </si>
  <si>
    <t>申請額</t>
  </si>
  <si>
    <t>概要</t>
  </si>
  <si>
    <t>財務状況
（単位：千円）</t>
  </si>
  <si>
    <t>年度</t>
  </si>
  <si>
    <t>総収入</t>
  </si>
  <si>
    <t>総支出</t>
  </si>
  <si>
    <t>当期損益</t>
  </si>
  <si>
    <t>累積損益</t>
  </si>
  <si>
    <t>総収入のうち当該年度に受けた公的な補助金・助成金</t>
  </si>
  <si>
    <t>金額</t>
  </si>
  <si>
    <t>R5</t>
  </si>
  <si>
    <r>
      <rPr>
        <sz val="12"/>
        <rFont val="ＭＳ Ｐゴシック"/>
        <family val="3"/>
        <charset val="128"/>
      </rPr>
      <t>R6
(</t>
    </r>
    <r>
      <rPr>
        <sz val="12"/>
        <rFont val="Noto Sans CJK SC"/>
        <family val="2"/>
      </rPr>
      <t>見込</t>
    </r>
    <r>
      <rPr>
        <sz val="12"/>
        <rFont val="ＭＳ Ｐゴシック"/>
        <family val="3"/>
        <charset val="128"/>
      </rPr>
      <t>)</t>
    </r>
  </si>
  <si>
    <r>
      <rPr>
        <sz val="12"/>
        <rFont val="ＭＳ Ｐゴシック"/>
        <family val="3"/>
        <charset val="128"/>
      </rPr>
      <t>R7
(</t>
    </r>
    <r>
      <rPr>
        <sz val="12"/>
        <rFont val="Noto Sans CJK SC"/>
        <family val="2"/>
      </rPr>
      <t>見込</t>
    </r>
    <r>
      <rPr>
        <sz val="12"/>
        <rFont val="ＭＳ Ｐゴシック"/>
        <family val="3"/>
        <charset val="128"/>
      </rPr>
      <t>)</t>
    </r>
  </si>
  <si>
    <t>２．団体の運営状況（自己申告書）</t>
  </si>
  <si>
    <t>①定款等</t>
  </si>
  <si>
    <t>○定款等を適切に定めている。</t>
  </si>
  <si>
    <t>はい</t>
  </si>
  <si>
    <t>②意思決定機関</t>
  </si>
  <si>
    <t>○団体の意思等を決定する機関（理事会、取締役会等）を設置している。</t>
  </si>
  <si>
    <t>○理事会等を定期的に開催している。</t>
  </si>
  <si>
    <t>○理事会等の議事録を作成している。</t>
  </si>
  <si>
    <t>○事業計画及び予算並びに事業報告及び決算について理事会等の決議を経ている。</t>
  </si>
  <si>
    <t>以下は、理事会等を設置している場合のみ回答してください。</t>
  </si>
  <si>
    <t>○理事会等の構成についてジェンダーバランスに配慮している。</t>
  </si>
  <si>
    <t>③運営事務</t>
  </si>
  <si>
    <t>○経理責任者は明確になっている。</t>
  </si>
  <si>
    <t xml:space="preserve">○現預金の出納責任者は明確になっている。 </t>
  </si>
  <si>
    <t>○銀行印の管理責任者は明確になっている。</t>
  </si>
  <si>
    <t>○事務の執行に当たっては、各担当者の権限と責任が明確になっている。</t>
  </si>
  <si>
    <t>○業者選定等に関する規程等を整備している。</t>
  </si>
  <si>
    <t>○予算執行に係る全ての証憑（契約書・領収書等）を善良な管理者の注意をもって５年間以上保管している。</t>
  </si>
  <si>
    <t>○利益相反取引を行っていない（適切な承認手続きを経たものを除く）。</t>
  </si>
  <si>
    <t>※利益相反行為とは、複数の当事者がいる場合における、一方の利益となり、かつ他方の不利益となる行為を指す。</t>
  </si>
  <si>
    <t>○手許現金有高は、定期的に出納担当者以外の者が出納簿と照合している。</t>
  </si>
  <si>
    <t>○法人税や消費税、源泉所得税等で必要な申告義務を適切に実施している。</t>
  </si>
  <si>
    <t>財務</t>
  </si>
  <si>
    <t>④財務諸表等</t>
  </si>
  <si>
    <t xml:space="preserve">○会計帳簿（仕訳帳・総勘定元帳等）を作成している。 </t>
  </si>
  <si>
    <t>○財務諸表（貸借対照表・損益計算書等）を作成している。</t>
  </si>
  <si>
    <t>○財務諸表（貸借対照表・損益計算書等）を公表している。</t>
  </si>
  <si>
    <t>※本項目における「公表」とは、ウェブサイトに掲載していること、もしくは事務所に備え付け一般からの
　要望があれば常に閲覧することができる状態にしていることを指す。</t>
  </si>
  <si>
    <t>⑤監査</t>
  </si>
  <si>
    <t>○監事・監査役等による会計監査又はこれに準じた内部監査を実施している。</t>
  </si>
  <si>
    <t>　（「はい」の場合は当てはまるものにチェック）</t>
  </si>
  <si>
    <t>　　外部監査（監査法人、公認会計士による会計監査）</t>
  </si>
  <si>
    <t>　　内部監査（監事監査、監査役監査による会計監査）</t>
  </si>
  <si>
    <t>　　内部監査に準じた監査（経理責任者による会計監査等）</t>
  </si>
  <si>
    <t xml:space="preserve">○監事等による監査報告書を作成している。 </t>
  </si>
  <si>
    <t>活動環境</t>
  </si>
  <si>
    <t>⑥労務管理</t>
  </si>
  <si>
    <t>○就業規則を明文化している。</t>
  </si>
  <si>
    <t>○労働基準法に則り、雇用者の労働時間・休憩・休日等を適切に管理している。</t>
  </si>
  <si>
    <t>○雇用契約書の取り交わし等、雇用者に対して書面により労働条件を明示している。</t>
  </si>
  <si>
    <t>○雇用者に対し、規則等で作品制作料・出演料等の単価を定めている。</t>
  </si>
  <si>
    <t>○雇用者を社会保険（健康保険、厚生年金保険、介護保険）に加入させている。</t>
  </si>
  <si>
    <t>　※加入義務を有する有給職員を雇用していない場合等については、「なし」を選択してください。</t>
  </si>
  <si>
    <t>○雇用者を労働保険（労災保険、雇用保険）に加入させている。</t>
  </si>
  <si>
    <t>⑦芸術活動関係法令・各ガイドライン等への対応（募集要領本冊７頁～10頁参照）</t>
  </si>
  <si>
    <t>「映画制作の持続的な発展に向けた取引ガイドライン」について（映像分野の場合のみ回答してください。）</t>
  </si>
  <si>
    <t>○プロジェクトにおいて映像制作が伴う場合、「映画制作の持続的な発展に向けた取引ガイドライン」を順守する。</t>
  </si>
  <si>
    <t>「いいえ」の場合、本欄に対応を記載</t>
  </si>
  <si>
    <t>「アニメーション制作業界における下請適正取引等の推進のためのガイドライン」について（アニメ分野の場合のみ回答してください。）</t>
  </si>
  <si>
    <t>○プロジェクトにおいてアニメーション制作が伴う場合、「アニメーション制作業界における下請適正取引等の推進のためのガイドライン」を順守する。</t>
  </si>
  <si>
    <t>「特定受託事業者に係る取引の適正化等に関する法律」（フリーランス・事業者間取引適正化等法）</t>
  </si>
  <si>
    <r>
      <rPr>
        <sz val="12"/>
        <rFont val="ＭＳ Ｐゴシック"/>
        <family val="3"/>
        <charset val="128"/>
      </rPr>
      <t>(1)</t>
    </r>
    <r>
      <rPr>
        <sz val="12"/>
        <rFont val="Noto Sans CJK SC"/>
        <family val="2"/>
      </rPr>
      <t>発注事業者としてフリーランスの芸術家・実演家等との間で業務委託等の取引を行う場合に義務化されている対応を実施している。</t>
    </r>
  </si>
  <si>
    <r>
      <rPr>
        <sz val="12"/>
        <rFont val="ＭＳ Ｐゴシック"/>
        <family val="3"/>
        <charset val="128"/>
      </rPr>
      <t>(2)</t>
    </r>
    <r>
      <rPr>
        <sz val="12"/>
        <rFont val="Noto Sans CJK SC"/>
        <family val="2"/>
      </rPr>
      <t>一定期間以上の期間行う業務を委託する場合に義務化されている対応を実施している。</t>
    </r>
  </si>
  <si>
    <t>ハラスメント防止対策の実施</t>
  </si>
  <si>
    <t>１．事業主の方針の明確化及びその周知・啓発を実施している。</t>
  </si>
  <si>
    <t>２．相談（苦情を含む）に応じ、適切に対応するために必要な体制を整備している。</t>
  </si>
  <si>
    <t>３．ハラスメントに係る事後の迅速かつ適切な対応を実施している。</t>
  </si>
  <si>
    <t>４．１から３までの措置と併せて講ずべき措置を実施している。</t>
  </si>
  <si>
    <t>申請資格</t>
  </si>
  <si>
    <t>※　以下のいずれかに該当する大学の設置者は、本事業に申請できません。</t>
  </si>
  <si>
    <t>○大学全体として学生募集停止中の大学</t>
  </si>
  <si>
    <t>該当しない</t>
  </si>
  <si>
    <t>○学校教育法（昭和22年法律第26号）第109条の規定に基づき文部科学大臣の認証を受けた者による直近の評価の結果、「不適合」の判定を受けている大学</t>
  </si>
  <si>
    <t>○「私立大学等経常費補助金」において、定員の充足状況に係る基準以外の事由により、前年度に不交付または減額の措置を受けた大学</t>
  </si>
  <si>
    <t>○設置計画履行状況等調査において、「指摘事項（法令違反）」が付されている大学</t>
  </si>
  <si>
    <t>○大学、短期大学及び高等専門学校の設置等に係る認可の基準（平成15年文部科学省告示第45号）第２条第１号又は第２号のいずれかに該当する者が設置する大学</t>
  </si>
  <si>
    <t>３．プロジェクト全体の計画（３年間）　※審査要領１．審査項目「② プロジェクト内容」～「④ 将来性」にも留意</t>
  </si>
  <si>
    <t>○ プロジェクトの概要　※この概要は採択時の公表資料に掲載されますのでご留意ください。</t>
  </si>
  <si>
    <t>生成AIとリアルタイム制作技術の急速な普及により、映像・VFX・3DCG・アニメ・ゲームの各分野で3DCG制作フローが共通基盤化しつつあり、従来の業界別人材育成ではAI時代の制作フローに対応しきれない。本事業は、産業を横断して活躍できる「3DCG制作中核人材」を3年間で累計1,080名（リテラシー600名・実践360名・高度120名）育成するものである。具体的には、2026年2月に稼働開始した本学のLEDウォールVP環境および国際的VFX教授陣を活用し、生成AI×バーチャルプロダクション×3DCGを統合した「AI Nativeワークフロー」を中核とする実践型プログラムを展開する。さらにベネッセAI教育研究所と共催で企業ゼミ（リテラシー〜実践）を運営し、修了生3年継続追跡によるEBPM評価および全国教育機関への成果展開を一体的に推進する。</t>
  </si>
  <si>
    <t>※枠内に収まるように400字程度で記載してください。</t>
  </si>
  <si>
    <t>〇本プロジェクトの実施により、期待される成果や波及効果（我が国のコンテンツ制作現場を支える中核的専門人材の育成・確保、各分野の文化芸術活動の活性化、国際的プレゼンスの向上等）</t>
  </si>
  <si>
    <t>直接成果として、3年間で1,080名の3DCG制作中核人材を育成し、中級・上級修了生（実践・高度の480名）について業界就業率70%以上、修了後3年継続従事率70%以上を実現する。加えて、教材公開・FD研修・出前授業・サマースクール等を通じて累計177団体（自治体15／中高75／高等教育機関45／各種学校42）へ育成モデルを展開し、全国的な人材育成基盤の拡充に寄与する。さらに業界標準コンピテンシーモデルおよび国産デジタルデザインプラットフォーム要件定義書を策定・公開し、業界団体（CESA・VFX-JAPAN等）・関係省庁（経産省・文化庁・内閣府）と共有し、政策・産業界が参照できる公共財として提供する。本事業は単一大学の取組を超え、AI時代の産業横断型3DCG制作人材育成モデルを日本で初めて構築するものであり、コンテンツ産業の国際競争力強化と文化芸術の国際的プレゼンス向上に資する。</t>
  </si>
  <si>
    <t>４．「プロジェクトに盛り込むべき観点」への対応</t>
  </si>
  <si>
    <t>① マンガ、アニメ、ゲーム、映像（実写映画及びアニメーション映画）、音楽（ポピュラーミュージック関係）等の分野において、海外発信を見据えたコンテンツ制作の高品質化・需要増大に対して必要となる中核的専門人材（アニメーター（原画、動画、背景）、美術、撮影、編集、音響、ゲームプログラマー、ゲームデザイナー、３DCGクリエイター、ＶＦＸクリエイター、サウンドクリエイター、マンガ翻訳者等）を育成・確保するためのプロジェクトであること。</t>
  </si>
  <si>
    <t>右記を最低１つ以上含む必要があります。該当する取組に「〇」を付してください。</t>
  </si>
  <si>
    <t>〇</t>
  </si>
  <si>
    <t>基本的技術の理解・習得</t>
  </si>
  <si>
    <t>新技術（3DCG、VFX、AI等）活用能力の育成</t>
  </si>
  <si>
    <t>卓越した技術の継承</t>
  </si>
  <si>
    <t>当該職種での定着・キャリア選択の支援</t>
  </si>
  <si>
    <t>本事業は、募集要領で例示された中核的専門人材（3DCGクリエイター・VFXクリエイター等）を、AI時代の産業横断型制作フローに対応する形へ発展させ、映像・VFX・3DCG・アニメ・ゲームの5分野にわたる制作中核人材を育成する。育成はリテラシー・実践・高度の3階層で構成し、生成AI（ChatGPT／Gemini／Claude等）と業界標準ツール群（Adobe／Figma／Canva／Blender／Unreal Engine）の体系学習で基本技術の習得を図るとともに、国際的VFX教授（エカート教授）によるFramestore流ワークフロー継承で卓越技術を継承する。さらにAI×LEDウォール統合ワークフロー設計能力の育成により新技術活用能力を高め、ベネッセAI教育研究所による業界マッチング・3年継続追跡でキャリア選択を支援する。これらを統合的に展開し、4観点すべてを充足する設計とする。</t>
  </si>
  <si>
    <t>② 本事業を通じて中核的専門人材の育成・確保の持続的な基盤を形成する観点から、単一の主体における人材育成にとどまらない、業界への就業（他業種からの流入も可）や定着が考慮されているプロジェクトであること。</t>
  </si>
  <si>
    <t>③ 産業界のニーズを踏まえた中核的専門人材の育成・確保が必要であるため、当該コンテンツ分野において具体的な人材ニーズが現に存在する、または、ニーズが生じると見込まれる人材の育成・確保に取り組むプロジェクトであること。当該人材ニーズが定量的に計測できる場合はそれも記載するとともに、プロジェクトの実施によりどの程度不足の解消に貢献できるのかも記載。</t>
  </si>
  <si>
    <t>④ プロジェクトを実施するに当たって適切な関係者・団体等と連携する計画となっており、それら連携先と事前協議を行っている又は行う計画であること。　（７．連携先、８．指導者等とも関係）</t>
  </si>
  <si>
    <t>本事業は連携先ベネッセAI教育研究所との2者連携により補助型応募要件を満たす。同研究所は教育効果のEBPM評価機関であると同時に、教育モデルを全国の教育機関へ展開する社会実装プレイヤーでもあり、本事業の中核連携先として最適である。事前協議は既に実施済みであり、令和8年度第1四半期に正式協定を締結する。同研究所が担う役割は、①本学との共催による企業ゼミ（リテラシー〜実践）の設計・運営と受講生事前事後アセスメント、②修了生3年継続追跡、③EBPM評価・要因分析、④研究レポート共同編集、⑤全国教育機関への教育モデル展開支援、⑥高大接続設計、⑦オンラインプラットフォームによる普及、の7点である。加えて事業実施を通じて、業界横断連携（5分野の企業群・累計100社以上）、教育波及連携（累計177団体）、行政・産業共有（経産省・文化庁・CESA・VFX-JAPAN等）へ段階的に連携を拡大する。</t>
  </si>
  <si>
    <t>　５．プロジェクトの詳細</t>
  </si>
  <si>
    <t>　実施方針及び実施計画・スケジュール等の決定　※「求める要件」（１）参照、６．スケジュール詳細にも関係</t>
  </si>
  <si>
    <t>〔具体的な取組内容〕</t>
  </si>
  <si>
    <t>【実施方針】
産業横断型3DCG制作中核人材の育成を、リテラシー・実践・高度の3階層で実施する。リテラシーコース（年200名）では3DCG・AI・VPの基礎を共通基盤として全員が習得し、実践コース（年120名）では本人の希望と適性に応じて映像・VFX・3DCG・アニメ・ゲームの5分野いずれかの専門領域に分化する。さらに高度コース（年40名）は実践修了者から選抜のうえ、VP・リアルタイムCGの高度専門能力を養成する。
【決定プロセス】
令和8年度第1〜第2四半期にエカート教授との統合設計によるカリキュラム共同開発、AI・VPスキル標準の策定、各コース第1期向け教材開発を実施する。第3四半期からは3階層の同時開講に移行し、LEDウォール環境を活用した産業横断型実制作演習を本格稼働させるとともに、エカート教授による上級指導を開始する。
【AI Nativeワークフロー】
3DCG制作工程を「①企画・開発、②プリプロダクション、③バーチャルプロダクション、④ポストプロダクション、⑤検証・アーカイブ」の5段階に再設計し、各段階でAI・リアルタイム制作・VPを統合的に活用する。</t>
  </si>
  <si>
    <t>　事務局の設置と実施体制の明確化　※「求める要件」（２）参照</t>
  </si>
  <si>
    <t>【事務局】
専従事務局をデジタルハリウッド大学内に設置し、専従スタッフ（プログラム・ディレクター、教務担当、広報担当、経理担当）を配置のうえ、年度ごとの執行計画と実績管理を行う。実施期間中は、振興会および文化庁と定期的に協議の場を設け、必要な連絡・事務を執り行う。
【実施体制】
事業責任者は学長・藤井直敬が務め、本学が中核実施機関として、教育設計・運営・成果評価・修了生支援を一貫して実施する。中核指導者には、クリストファー・ハンス・エカート教授を招聘済。育成対象者については、修了後もベネッセAI教育研究所との連携により3年継続追跡を行い、振興会・文化庁からの求めに応じて速やかに活動状況を報告できる体制を整える。
【連携先】
ベネッセAI教育研究所が本学との共催による企業ゼミ（リテラシー〜実践）の設計・運営を担うとともに、教育効果測定・修了生追跡・EBPM評価・全国教育機関展開支援・高大接続設計・オンライン普及までを一体的に担当する。</t>
  </si>
  <si>
    <t>　広報等の実施及び成果発表　※「求める要件」（３）参照</t>
  </si>
  <si>
    <t>【広報】
特設Webサイト・SNS・大学広報を通じて受講生募集と事業情報を発信するとともに、業界専門メディア（CGWORLDほか）への寄稿・掲載を行う。あわせて年次研究会を開催する（年4回×3年、延べ参加者1,500名以上）。
【成果発表】
中間研究レポート（令和8年度末・令和9年度末）および最終研究レポート（令和10年度末）を公開し、実制作作品（3年累計24作品以上）の発表会を開催する。令和10年度第3四半期にプロジェクト成果をネットやSNSで発信するとともに、国際カンファレンスを通して海外に広く周知する。
【モデル展開】
教材公開ライセンス（累計50本以上）、FD研修（年2回・累計150名以上）、出前授業、サマースクール（累計修了者120名以上＝年40名×3年）等の取組を通じて、累計177団体（自治体15／中高75／高等教育機関45／各種学校42）へモデルを展開する。
【業界・行政共有】
業界標準コンピテンシーモデルおよび国産デジタルデザインプラットフォーム要件定義書を策定・公開し、経済産業省・文化庁・内閣府への報告および業界団体（CESA・VFX-JAPAN等）への共有を実施するとともに、関連研究会を累計3回以上開催する。</t>
  </si>
  <si>
    <t>　６．スケジュール詳細　※「求める要件」（１）参照</t>
  </si>
  <si>
    <t>職　種</t>
  </si>
  <si>
    <t>１年目　令和8年度（2026年度）</t>
  </si>
  <si>
    <t>4月</t>
  </si>
  <si>
    <t>5月</t>
  </si>
  <si>
    <t>6月</t>
  </si>
  <si>
    <t>7月</t>
  </si>
  <si>
    <t>8月</t>
  </si>
  <si>
    <t>9月</t>
  </si>
  <si>
    <t>10月</t>
  </si>
  <si>
    <t>11月</t>
  </si>
  <si>
    <t>12月</t>
  </si>
  <si>
    <t>1月</t>
  </si>
  <si>
    <t>2月</t>
  </si>
  <si>
    <t>3月</t>
  </si>
  <si>
    <t>リテラシーコース（後期100名）企業ゼミ</t>
  </si>
  <si>
    <t>後期 企業ゼミ（100名）・AIリテラシー講座</t>
  </si>
  <si>
    <t>実践コース（120名）／映像・VFX・3DCG・アニメ・ゲーム</t>
  </si>
  <si>
    <t>分野別ゼミ＋AI深化</t>
  </si>
  <si>
    <t>高度コース（40名）／VP・リアルタイムCGスペシャリスト</t>
  </si>
  <si>
    <t>VP専門コース（UE5・インカメラVFX）</t>
  </si>
  <si>
    <t>全体（共通／成果発信）</t>
  </si>
  <si>
    <t>AI研修</t>
  </si>
  <si>
    <t>SIGGRAPH 
2026</t>
  </si>
  <si>
    <t>成果報告</t>
  </si>
  <si>
    <t>２年目　令和9年度（2027年度）</t>
  </si>
  <si>
    <t xml:space="preserve"> </t>
  </si>
  <si>
    <t>企業ゼミ：リテラシー（前期/100名+後期100名）</t>
  </si>
  <si>
    <t>前期 企業ゼミ（100名）・AIリテラシー講座</t>
  </si>
  <si>
    <t>企業ゼミ：実践（120名）／映像・VFX・3DCG・アニメ・ゲーム</t>
  </si>
  <si>
    <t>企業ゼミ前期（拡大・AI深化）</t>
  </si>
  <si>
    <t>後期 企業ゼミ＋ベーシックAI（継続）</t>
  </si>
  <si>
    <t>VP上級（作品制作・外部評価）</t>
  </si>
  <si>
    <t>SIGGRAPH 
2027</t>
  </si>
  <si>
    <t>３年目　令和10年度（2028年度）</t>
  </si>
  <si>
    <t>SIGGRAPH 
2028</t>
  </si>
  <si>
    <t>７．連携先　※「プロジェクトに盛り込むべき観点④」に対応</t>
  </si>
  <si>
    <t>【連携先一覧】</t>
  </si>
  <si>
    <t>状況</t>
  </si>
  <si>
    <t>種別</t>
  </si>
  <si>
    <t>専門分野</t>
  </si>
  <si>
    <t>所在地</t>
  </si>
  <si>
    <t>役割</t>
  </si>
  <si>
    <t>本プロジェクトに関連した実績</t>
  </si>
  <si>
    <t>ベネッセAI教育研究所</t>
  </si>
  <si>
    <t>内諾済</t>
  </si>
  <si>
    <t>産</t>
  </si>
  <si>
    <t>教育効果測定／EBPM評価／高大接続／オンライン教育普及</t>
  </si>
  <si>
    <t>東京都</t>
  </si>
  <si>
    <t>①大学との共催による企業ゼミ（リテラシー〜実践）の設計・運営、教育プログラムの設計。②受講生事前事後アセスメント、修了生3年継続追跡、EBPM評価、研究レポート共同編集。③全国教育機関への教育モデル展開支援</t>
  </si>
  <si>
    <t>長年にわたり全国の教育機関と接点を有し、教育効果測定・追跡調査・教材開発・オンライン教育普及で実績</t>
  </si>
  <si>
    <t>GROUNDRIDDIM（グラウンドリディム）</t>
  </si>
  <si>
    <t>映像制作／Music Video／バーチャルプロダクション映像</t>
  </si>
  <si>
    <t>埼玉県</t>
  </si>
  <si>
    <t>MV・VP映像制作OJT受け入れ／実制作指導／業界マッチング／VP映像ワークフロー共同開発</t>
  </si>
  <si>
    <t>藤井風「きらり」MV（ストリーミング5億回超）等多数のMV・ライブ映像制作実績。代表・髙野良和は本学准教授として在籍。</t>
  </si>
  <si>
    <t>アニメ制作会社（複数社）</t>
  </si>
  <si>
    <t>検討中</t>
  </si>
  <si>
    <t>アニメ制作</t>
  </si>
  <si>
    <t>都内ほか</t>
  </si>
  <si>
    <r>
      <rPr>
        <sz val="12"/>
        <rFont val="ＭＳ Ｐゴシック"/>
        <family val="3"/>
        <charset val="128"/>
      </rPr>
      <t>OJT</t>
    </r>
    <r>
      <rPr>
        <sz val="12"/>
        <rFont val="Noto Sans CJK SC"/>
        <family val="2"/>
      </rPr>
      <t>受け入れ／実制作指導／インターンシップ／業界マッチング</t>
    </r>
  </si>
  <si>
    <t>※プロジェクト開始後に正式締結予定</t>
  </si>
  <si>
    <t>ゲーム制作会社／リアルタイム制作企業（複数社）</t>
  </si>
  <si>
    <t>ゲーム／リアルタイム制作</t>
  </si>
  <si>
    <r>
      <rPr>
        <sz val="12"/>
        <rFont val="ＭＳ Ｐゴシック"/>
        <family val="3"/>
        <charset val="128"/>
      </rPr>
      <t>OJT</t>
    </r>
    <r>
      <rPr>
        <sz val="12"/>
        <rFont val="Noto Sans CJK SC"/>
        <family val="2"/>
      </rPr>
      <t>受け入れ／実制作指導／インターンシップ</t>
    </r>
  </si>
  <si>
    <r>
      <rPr>
        <sz val="12"/>
        <rFont val="ＭＳ Ｐゴシック"/>
        <family val="3"/>
        <charset val="1"/>
      </rPr>
      <t>AI</t>
    </r>
    <r>
      <rPr>
        <sz val="12"/>
        <rFont val="Noto Sans CJK SC"/>
        <family val="2"/>
      </rPr>
      <t>制作支援企業／生成</t>
    </r>
    <r>
      <rPr>
        <sz val="12"/>
        <rFont val="ＭＳ Ｐゴシック"/>
        <family val="3"/>
        <charset val="1"/>
      </rPr>
      <t>AI</t>
    </r>
    <r>
      <rPr>
        <sz val="12"/>
        <rFont val="Noto Sans CJK SC"/>
        <family val="2"/>
      </rPr>
      <t>プラットフォーム企業</t>
    </r>
  </si>
  <si>
    <r>
      <rPr>
        <sz val="12"/>
        <rFont val="ＭＳ Ｐゴシック"/>
        <family val="3"/>
        <charset val="128"/>
      </rPr>
      <t>AI</t>
    </r>
    <r>
      <rPr>
        <sz val="12"/>
        <rFont val="Noto Sans CJK SC"/>
        <family val="2"/>
      </rPr>
      <t>制作支援／生成</t>
    </r>
    <r>
      <rPr>
        <sz val="12"/>
        <rFont val="ＭＳ Ｐゴシック"/>
        <family val="3"/>
        <charset val="128"/>
      </rPr>
      <t>AI</t>
    </r>
    <r>
      <rPr>
        <sz val="12"/>
        <rFont val="Noto Sans CJK SC"/>
        <family val="2"/>
      </rPr>
      <t>プラットフォーム</t>
    </r>
  </si>
  <si>
    <t>国内外</t>
  </si>
  <si>
    <r>
      <rPr>
        <sz val="12"/>
        <rFont val="ＭＳ Ｐゴシック"/>
        <family val="3"/>
        <charset val="128"/>
      </rPr>
      <t>AI Native</t>
    </r>
    <r>
      <rPr>
        <sz val="12"/>
        <rFont val="Noto Sans CJK SC"/>
        <family val="2"/>
      </rPr>
      <t>ワークフロー設計支援／教材提供／講師派遣</t>
    </r>
  </si>
  <si>
    <r>
      <rPr>
        <sz val="12"/>
        <rFont val="ＭＳ Ｐゴシック"/>
        <family val="3"/>
        <charset val="1"/>
      </rPr>
      <t>XR</t>
    </r>
    <r>
      <rPr>
        <sz val="12"/>
        <rFont val="Noto Sans CJK SC"/>
        <family val="2"/>
      </rPr>
      <t>・ライブ演出企業</t>
    </r>
  </si>
  <si>
    <r>
      <rPr>
        <sz val="12"/>
        <rFont val="ＭＳ Ｐゴシック"/>
        <family val="3"/>
        <charset val="128"/>
      </rPr>
      <t>XR</t>
    </r>
    <r>
      <rPr>
        <sz val="12"/>
        <rFont val="Noto Sans CJK SC"/>
        <family val="2"/>
      </rPr>
      <t>／ライブ演出</t>
    </r>
  </si>
  <si>
    <r>
      <rPr>
        <sz val="12"/>
        <rFont val="ＭＳ Ｐゴシック"/>
        <family val="3"/>
        <charset val="128"/>
      </rPr>
      <t>OJT</t>
    </r>
    <r>
      <rPr>
        <sz val="12"/>
        <rFont val="Noto Sans CJK SC"/>
        <family val="2"/>
      </rPr>
      <t>受け入れ／実制作指導／業界マッチング</t>
    </r>
  </si>
  <si>
    <t>Otis College of Art and Design</t>
  </si>
  <si>
    <t>アート・デザイン教育（米国）</t>
  </si>
  <si>
    <t>米国ロサンゼルス</t>
  </si>
  <si>
    <t>海外連携プログラム／海外スタジオ短期研修／教員交流</t>
  </si>
  <si>
    <t>エカート教授が同校教授を兼任</t>
  </si>
  <si>
    <t>８．指導者等　※「プロジェクトに盛り込むべき観点④」に対応</t>
  </si>
  <si>
    <t>【本プロジェクトの中核となる者】</t>
  </si>
  <si>
    <t>クリストファー・ハンス・エカート（Christopher Hans Eckardt）</t>
  </si>
  <si>
    <t>本学教員</t>
  </si>
  <si>
    <t>国際的VFX／3DCG制作／VFX教育</t>
  </si>
  <si>
    <t>デジタルハリウッド大学　教授（招聘予定）／Otis College of Art and Design 教授</t>
  </si>
  <si>
    <t>本事業の教育・研究の中核指導者。Framestore流ワークフローの継承指導、上級コース統括、海外連携の中核</t>
  </si>
  <si>
    <r>
      <rPr>
        <sz val="12"/>
        <rFont val="ＭＳ Ｐゴシック"/>
        <family val="3"/>
        <charset val="1"/>
      </rPr>
      <t xml:space="preserve">Framestore Los Angeles </t>
    </r>
    <r>
      <rPr>
        <sz val="12"/>
        <rFont val="Noto Sans CJK SC"/>
        <family val="2"/>
      </rPr>
      <t>設立メンバー／</t>
    </r>
    <r>
      <rPr>
        <sz val="12"/>
        <rFont val="ＭＳ Ｐゴシック"/>
        <family val="3"/>
        <charset val="1"/>
      </rPr>
      <t xml:space="preserve">MTV Video Music Award </t>
    </r>
    <r>
      <rPr>
        <sz val="12"/>
        <rFont val="Noto Sans CJK SC"/>
        <family val="2"/>
      </rPr>
      <t>最優秀視覚効果賞受賞（</t>
    </r>
    <r>
      <rPr>
        <sz val="12"/>
        <rFont val="ＭＳ Ｐゴシック"/>
        <family val="3"/>
        <charset val="1"/>
      </rPr>
      <t>OutKast</t>
    </r>
    <r>
      <rPr>
        <sz val="12"/>
        <rFont val="Noto Sans CJK SC"/>
        <family val="2"/>
      </rPr>
      <t>「</t>
    </r>
    <r>
      <rPr>
        <sz val="12"/>
        <rFont val="ＭＳ Ｐゴシック"/>
        <family val="3"/>
        <charset val="1"/>
      </rPr>
      <t>Hey Ya!</t>
    </r>
    <r>
      <rPr>
        <sz val="12"/>
        <rFont val="Noto Sans CJK SC"/>
        <family val="2"/>
      </rPr>
      <t>」）／北京冬季五輪ハンドオーバー演出／</t>
    </r>
    <r>
      <rPr>
        <sz val="12"/>
        <rFont val="ＭＳ Ｐゴシック"/>
        <family val="3"/>
        <charset val="1"/>
      </rPr>
      <t>30</t>
    </r>
    <r>
      <rPr>
        <sz val="12"/>
        <rFont val="Noto Sans CJK SC"/>
        <family val="2"/>
      </rPr>
      <t>年以上の国際的</t>
    </r>
    <r>
      <rPr>
        <sz val="12"/>
        <rFont val="ＭＳ Ｐゴシック"/>
        <family val="3"/>
        <charset val="1"/>
      </rPr>
      <t>VFX</t>
    </r>
    <r>
      <rPr>
        <sz val="12"/>
        <rFont val="Noto Sans CJK SC"/>
        <family val="2"/>
      </rPr>
      <t>実績</t>
    </r>
  </si>
  <si>
    <t>【指導者等一覧】</t>
  </si>
  <si>
    <t>髙野良和</t>
  </si>
  <si>
    <t>映像制作・Music Video・VJ・広告映像</t>
  </si>
  <si>
    <t>デジタルハリウッド大学 准教授 / GROUNDRIDDIM プロデューサー</t>
  </si>
  <si>
    <t>映像制作演習・ゼミ指導・VP映像ワークフロー教育</t>
  </si>
  <si>
    <t>藤井風「きらり」MV（ストリーミング5億回超、2024年3月時点）プロデューサー。Yellow Magic Orchestra FUJI ROCK FESTIVAL'11 ライブVJ担当。セガ「ROOMANIA#203」・ナムコ「鉄拳４」CG開発参加。</t>
  </si>
  <si>
    <t>ヤーッコ・サーリ</t>
  </si>
  <si>
    <t>バーチャルプロダクション・Unreal Engine・リアルタイムCG・VFX</t>
  </si>
  <si>
    <t>デジタルハリウッド大学 特任准教授 / SonaGraf Co., Ltd. CEO</t>
  </si>
  <si>
    <t>VP・UE専門授業担当・リアルタイムCG指導</t>
  </si>
  <si>
    <t>ASIAGRAPH 2021 Division I: CG Art Gallery 受賞。IMAGICA DIGITALSCAPE Unreal Engine アドバイザー歴任。Territory Studio等での国際VFX実績。フィンランド出身、2007年来日。</t>
  </si>
  <si>
    <t>古岩 祥幸</t>
  </si>
  <si>
    <t>3DCG・キャラクターアニメーション・フルCG映像制作</t>
  </si>
  <si>
    <t>デジタルハリウッド大学 非常勤講師</t>
  </si>
  <si>
    <t>3DCG演習・フルCG系ゼミ担当・キャラクターアニメーション指導</t>
  </si>
  <si>
    <t>株式会社ポリゴン・ピクチュアズにてレイアウト・キャラクターアニメーション担当（国内外CGアニメ多数）。2014年よりデジタルハリウッド大学講師、フルCG系ゼミ担当。</t>
  </si>
  <si>
    <t>※　欄が不足する場合は、適宜行を挿入してください。</t>
  </si>
  <si>
    <t>９．成果目標</t>
  </si>
  <si>
    <t>【アウトプット】</t>
  </si>
  <si>
    <t>コンテンツの制作・発信を支える中核的専門人材育成のためのプログラム実施件数</t>
  </si>
  <si>
    <t>目標値</t>
  </si>
  <si>
    <r>
      <rPr>
        <sz val="12"/>
        <color theme="1"/>
        <rFont val="ＭＳ ゴシック"/>
        <family val="3"/>
        <charset val="128"/>
      </rPr>
      <t>30</t>
    </r>
    <r>
      <rPr>
        <sz val="12"/>
        <color theme="1"/>
        <rFont val="Noto Sans CJK SC"/>
        <family val="2"/>
      </rPr>
      <t>件以上（</t>
    </r>
    <r>
      <rPr>
        <sz val="12"/>
        <color theme="1"/>
        <rFont val="ＭＳ ゴシック"/>
        <family val="3"/>
        <charset val="128"/>
      </rPr>
      <t>3</t>
    </r>
    <r>
      <rPr>
        <sz val="12"/>
        <color theme="1"/>
        <rFont val="Noto Sans CJK SC"/>
        <family val="2"/>
      </rPr>
      <t>年累計）</t>
    </r>
  </si>
  <si>
    <t>目標値の
設定根拠</t>
  </si>
  <si>
    <t>リテラシー・実践・高度の3階層×3年×複数開講＋FD研修（年2回×3年）＋出前授業（年4回×3年）＋サマースクール（年1回×3年）＋研究会等を含む。3年間で30件以上のプログラム実施を計画。</t>
  </si>
  <si>
    <t>計測・算出
方法</t>
  </si>
  <si>
    <t>事務局における実施記録（開講記録、出前授業記録、研修記録、参加者名簿等）に基づき、年度ごとに集計。中間研究レポート・最終研究レポートにて公開。</t>
  </si>
  <si>
    <t>連携先の教育機関、企業・団体、自治体、拠点形成数</t>
  </si>
  <si>
    <t>177団体以上（3年累計：自治体15／中高75／高等教育機関45／各種学校42）＋業界団体・関係省庁等</t>
  </si>
  <si>
    <t>全国の自治体15・中高75・高等教育機関45・各種学校42の累計177団体への教育モデル展開（教職員研修＋プログラム提供数延べ）に加え、業界横断連携企業群（5分野）と業界団体（CESA・VFX-JAPAN等）、関係省庁（経済産業省・文化庁・内閣府）への報告を計画。本学既存ネットワークおよびベネッセAI教育研究所の全国教育機関ネットワークを活用して達成。</t>
  </si>
  <si>
    <t>カリキュラム公開ライセンス契約数、FD研修受講機関数、出前授業実施校数、研究会共催・後援等の記録を事務局で管理し、ベネッセAI教育研究所と連携して年度ごとに集計。</t>
  </si>
  <si>
    <t>【短期アウトカム】</t>
  </si>
  <si>
    <t>コンテンツの制作・発信を支える中核的専門人材の育成数</t>
  </si>
  <si>
    <r>
      <rPr>
        <sz val="12"/>
        <color theme="1"/>
        <rFont val="ＭＳ ゴシック"/>
        <family val="3"/>
        <charset val="128"/>
      </rPr>
      <t>1,080</t>
    </r>
    <r>
      <rPr>
        <sz val="12"/>
        <color theme="1"/>
        <rFont val="Noto Sans CJK SC"/>
        <family val="2"/>
      </rPr>
      <t>名（</t>
    </r>
    <r>
      <rPr>
        <sz val="12"/>
        <color theme="1"/>
        <rFont val="ＭＳ ゴシック"/>
        <family val="3"/>
        <charset val="128"/>
      </rPr>
      <t>3</t>
    </r>
    <r>
      <rPr>
        <sz val="12"/>
        <color theme="1"/>
        <rFont val="Noto Sans CJK SC"/>
        <family val="2"/>
      </rPr>
      <t>年累計）</t>
    </r>
  </si>
  <si>
    <t>【3階層構成】リテラシー600名（年200名×3年）＋実践360名（年120名×3年）＋高度120名（年40名×3年）＝累計1,080名。【算出根拠】リテラシー（年200名）は本学既存のAIリテラシー講座の受講者数、実践（年120名）は既存の該当ゼミ（3年生以降）の在籍人数、高度（年40名）は本学における今年度の履修見込み数を、それぞれ基準として算出した。いずれも本学（大学院2004・大学2005年開学）の現有教育リソースから積み上げ可能な水準。</t>
  </si>
  <si>
    <t>受講生名簿、修了認定（カリキュラム修了要件達成）、ポートフォリオ評価により集計。ベネッセAI教育研究所による事前事後アセスメントで習得状況を定量検証。</t>
  </si>
  <si>
    <t>その他①
長期アウトカム</t>
  </si>
  <si>
    <t>成果指標</t>
  </si>
  <si>
    <t>業界就業率（中級・上級修了生）／修了後3年継続従事率</t>
  </si>
  <si>
    <t>業界就業率70%以上／修了後3年継続従事率70%以上</t>
  </si>
  <si>
    <t>デジタルハリウッドグループ累計9万人以上の輩出実績、本学（大学・大学院）におけるPBL・企業連携教育を通じた即戦力人材輩出の実績に基づき設定。業界横断連携（5分野）による就業先の多様性が定着率向上に寄与。</t>
  </si>
  <si>
    <t>EBPM評価では、受講生の事前事後アセスメントによるスキル習得度、修了生3年継続追跡による業界就業率・継続従事率、産業横断的な就業先分布をエビデンスとして測定する。ベネッセAI教育研究所が要因分析を行い、業界標準コンピテンシーモデルの策定と経産省・文化庁への報告書を通じて政策立案・産業界に還元する。</t>
  </si>
  <si>
    <t>その他②
波及効果</t>
  </si>
  <si>
    <t>教材公開数／FD研修受講教員数／業界標準コンピテンシーモデル等の公開</t>
  </si>
  <si>
    <t>公開教材50本以上／FD研修受講教員150名以上／業界標準コンピテンシーモデル1件公開／国産デジタルデザインPF要件定義書1件公開／関連研究会3回以上開催／AIネイティブワークフロー公開事例30事例以上</t>
  </si>
  <si>
    <t>本学のLEDウォール環境およびAIネイティブ教育環境を背景に、産業横断型3DCG制作中核人材育成モデルを公共財として展開する観点から設定。</t>
  </si>
  <si>
    <t>オンライン教育プラットフォーム上の教材公開数、FD研修参加者名簿、業界団体・関係省庁との共有記録、研究会実施記録に基づき年度ごとに集計。研究レポートで公開。</t>
  </si>
  <si>
    <t>　１０．収支予算書</t>
  </si>
  <si>
    <t>　１．予算総括表</t>
  </si>
  <si>
    <t>　※別シートの「経費予定額（令和8年度・1年目）」「経費予定額（令和9年度・2年目）」「経費予定額（令和10年度・3年目）」の</t>
  </si>
  <si>
    <t>　　金額の合計が転記されます。</t>
  </si>
  <si>
    <t>　※計算式が設定されていますので青色の欄には入力しないでください。</t>
  </si>
  <si>
    <t>　※応募団体の「消費税等仕入控除税額の取扱」について、必ず該当するものを選択してください。</t>
  </si>
  <si>
    <t>　※助成金交付要望額は必ず記入してください。</t>
  </si>
  <si>
    <t>税区分番号</t>
  </si>
  <si>
    <t>消費税等仕入控除税額の取扱</t>
  </si>
  <si>
    <t>【要選択：消費税等仕入控除税額の取扱】</t>
  </si>
  <si>
    <t>費目</t>
  </si>
  <si>
    <t>金額
（単位：千円）</t>
  </si>
  <si>
    <t>人件費</t>
  </si>
  <si>
    <t>賃金</t>
  </si>
  <si>
    <t>事業費</t>
  </si>
  <si>
    <t>諸謝金</t>
  </si>
  <si>
    <t>旅費</t>
  </si>
  <si>
    <t>借損料</t>
  </si>
  <si>
    <t>消耗品費</t>
  </si>
  <si>
    <t>会議費</t>
  </si>
  <si>
    <t>通信
運搬費</t>
  </si>
  <si>
    <t>雑役務費</t>
  </si>
  <si>
    <t>保険料</t>
  </si>
  <si>
    <t>事業費合計：</t>
  </si>
  <si>
    <t>委　託　費</t>
  </si>
  <si>
    <t>助成対象経費　小計（ａ）</t>
  </si>
  <si>
    <t>助成対象経費に含まれる消費税等の額（ｂ）</t>
  </si>
  <si>
    <t>助成対象経費　合計（ａ－ｂ）</t>
  </si>
  <si>
    <t xml:space="preserve">  収入見込額（ｃ）</t>
  </si>
  <si>
    <t xml:space="preserve"> 収支差（自己負担額） （ａ－ｃ）</t>
  </si>
  <si>
    <t>助成金交付要望額（千円）</t>
  </si>
  <si>
    <t>下記上限額を参考に、助成金交付要望額を必ず記入してください。</t>
  </si>
  <si>
    <t>参考：算定できる助成金の上限額（千円）</t>
  </si>
  <si>
    <t>助成対象経費の合計額もしくは自己負担金のどちらか小さいほうが自動で入力されます。</t>
  </si>
  <si>
    <t>◎各年度収支予定額</t>
  </si>
  <si>
    <t>　２．経費予定額（令和８年度・１年目）</t>
  </si>
  <si>
    <t>※</t>
  </si>
  <si>
    <t>３年間の助成対象経費のうち、令和８年度（１年目）に掛かる経費の予定額を記入してください。</t>
  </si>
  <si>
    <t>必ず会計担当者が記載内容を確認するようにしてください。</t>
  </si>
  <si>
    <t>計算式が設定されていますので青色の欄には入力しないでください。</t>
  </si>
  <si>
    <t>金額欄には消費税等込みの金額を記入してください。</t>
  </si>
  <si>
    <t>軽減税率の対象となる経費は、「軽減税率」欄に○を記入してください。</t>
  </si>
  <si>
    <t>課税対象外(人件費・海外で支払う経費等（団体により異なるため会計担当者に確認すること）)の経費は、「課税対象外」欄に○を記入してください。</t>
  </si>
  <si>
    <t>欄が不足する場合は行を挿入してください。複数ページにわたっても結構です。</t>
  </si>
  <si>
    <t>提出前に必ず検算するようにしてください。</t>
  </si>
  <si>
    <t>単位：円</t>
  </si>
  <si>
    <t>内訳（支払い内容）</t>
  </si>
  <si>
    <t>数量・単位</t>
  </si>
  <si>
    <t>単価
（税込・円）</t>
  </si>
  <si>
    <t>金額
（千円）</t>
  </si>
  <si>
    <t>軽減
税率</t>
  </si>
  <si>
    <t>課税
対象外</t>
  </si>
  <si>
    <t>プログラム・ディレクター（事業統括）</t>
  </si>
  <si>
    <t>名</t>
  </si>
  <si>
    <t>月</t>
  </si>
  <si>
    <t>年</t>
  </si>
  <si>
    <t>○</t>
  </si>
  <si>
    <t>研究員・教育担当（カリキュラム開発・運営）</t>
  </si>
  <si>
    <t>事務担当・経理担当（事務局運営）</t>
  </si>
  <si>
    <t>小計</t>
  </si>
  <si>
    <t>課税外</t>
  </si>
  <si>
    <t>軽減</t>
  </si>
  <si>
    <t>標準</t>
  </si>
  <si>
    <t>エカート教授特別講義謝金</t>
  </si>
  <si>
    <t>回</t>
  </si>
  <si>
    <t>日</t>
  </si>
  <si>
    <t>海外講師招聘謝金</t>
  </si>
  <si>
    <t>出前授業・FD研修講師謝金</t>
  </si>
  <si>
    <t>髙野良和 VP映像演習・特別指導謝金</t>
  </si>
  <si>
    <t>ヤーッコ・サーリ VP/UE専門指導謝金</t>
  </si>
  <si>
    <t>古岩祥幸 3DCG・キャラクターアニメーション指導謝金</t>
  </si>
  <si>
    <t>クリス・エカート 契約外指導補助謝金</t>
  </si>
  <si>
    <t>海外連携先出張旅費（Otis College等）</t>
  </si>
  <si>
    <t>式</t>
  </si>
  <si>
    <t>SIGGRAPH 2026参加（ヤーッコ・サーリ）航空券（EC）・宿泊4泊・参加費</t>
  </si>
  <si>
    <t>SIGGRAPH 2026参加（クリス・エカート）航空券（EC）・宿泊4泊・参加費</t>
  </si>
  <si>
    <r>
      <rPr>
        <sz val="10"/>
        <color theme="1"/>
        <rFont val="ＭＳ Ｐゴシック"/>
        <family val="3"/>
        <charset val="128"/>
      </rPr>
      <t>AI</t>
    </r>
    <r>
      <rPr>
        <sz val="10"/>
        <color theme="1"/>
        <rFont val="Noto Sans CJK SC"/>
        <family val="2"/>
      </rPr>
      <t>ツール利用料：リテラシー</t>
    </r>
  </si>
  <si>
    <r>
      <rPr>
        <sz val="10"/>
        <color theme="1"/>
        <rFont val="ＭＳ Ｐゴシック"/>
        <family val="3"/>
        <charset val="128"/>
      </rPr>
      <t>AI</t>
    </r>
    <r>
      <rPr>
        <sz val="10"/>
        <color theme="1"/>
        <rFont val="Noto Sans CJK SC"/>
        <family val="2"/>
      </rPr>
      <t>ツール利用料：実践</t>
    </r>
  </si>
  <si>
    <r>
      <rPr>
        <sz val="10"/>
        <color theme="1"/>
        <rFont val="ＭＳ Ｐゴシック"/>
        <family val="3"/>
        <charset val="128"/>
      </rPr>
      <t>AI</t>
    </r>
    <r>
      <rPr>
        <sz val="10"/>
        <color theme="1"/>
        <rFont val="Noto Sans CJK SC"/>
        <family val="2"/>
      </rPr>
      <t>ツール利用料：高度</t>
    </r>
  </si>
  <si>
    <r>
      <rPr>
        <sz val="10"/>
        <color theme="1"/>
        <rFont val="ＭＳ Ｐゴシック"/>
        <family val="3"/>
        <charset val="128"/>
      </rPr>
      <t>OJT</t>
    </r>
    <r>
      <rPr>
        <sz val="10"/>
        <color theme="1"/>
        <rFont val="Noto Sans CJK SC"/>
        <family val="2"/>
      </rPr>
      <t>用ポータブル</t>
    </r>
    <r>
      <rPr>
        <sz val="10"/>
        <color theme="1"/>
        <rFont val="ＭＳ Ｐゴシック"/>
        <family val="3"/>
        <charset val="128"/>
      </rPr>
      <t>SSD</t>
    </r>
    <r>
      <rPr>
        <sz val="10"/>
        <color theme="1"/>
        <rFont val="Noto Sans CJK SC"/>
        <family val="2"/>
      </rPr>
      <t>（上級・中級受講生用データ持出し）</t>
    </r>
  </si>
  <si>
    <t>本</t>
  </si>
  <si>
    <t>研修用テキスト・教材印刷費</t>
  </si>
  <si>
    <t>研究会会場費・運営費</t>
  </si>
  <si>
    <t>サマースクール開催経費</t>
  </si>
  <si>
    <t>成果報告会・公開研究会（1回）</t>
  </si>
  <si>
    <t>オンライン研究会・FD研修配信費</t>
  </si>
  <si>
    <t>教材プラットフォーム運用費</t>
  </si>
  <si>
    <t>公開教材制作費（撮影編集・テキスト・コード）</t>
  </si>
  <si>
    <t>研究レポート編集・印刷</t>
  </si>
  <si>
    <t>業界標準モデル・要件定義書作成支援</t>
  </si>
  <si>
    <t>学外VPスタジオ使用料（中上級 OJT・外部連携演習用）</t>
  </si>
  <si>
    <t>英語教材・シラバス翻訳（クリス・エカート担当）</t>
  </si>
  <si>
    <t>学外OJT・インターンシップ参加者傂害保険</t>
  </si>
  <si>
    <t>教育効果測定・修了生追跡・要件定義調査委託（ベネッセAI教育研究所）</t>
  </si>
  <si>
    <t>助成対象経費　小計（a）</t>
  </si>
  <si>
    <t>うち課税対象外経費</t>
  </si>
  <si>
    <t>うち課税対象経費（軽減税率）</t>
  </si>
  <si>
    <t>うち課税対象経費（標準税率）</t>
  </si>
  <si>
    <t>収支差（自己負担額）（ａ－ｃ）</t>
  </si>
  <si>
    <t>　２－２．委託費内訳</t>
  </si>
  <si>
    <t>委託がある場合は、上記の「２．経費予定額」と同様に費目・種別ごとの経費を記入してください。</t>
  </si>
  <si>
    <t>委託先：</t>
  </si>
  <si>
    <t>研究員（教育効果測定・追跡調査担当）</t>
  </si>
  <si>
    <t>事前事後アセスメント設計・実施・データ分析</t>
  </si>
  <si>
    <t>研究レポート編集・公開支援</t>
  </si>
  <si>
    <t>再委託費</t>
  </si>
  <si>
    <t>　総　事　業　費（a'）</t>
  </si>
  <si>
    <t xml:space="preserve">  収入見込額（ｂ'）</t>
  </si>
  <si>
    <t xml:space="preserve">  差引合計（ａ'－ｂ'）</t>
  </si>
  <si>
    <t>　３．経費予定額（令和９年度・２年目）</t>
  </si>
  <si>
    <t>３年間の助成対象経費のうち、令和９年度（２年目）に掛かる経費の予定額を記入してください。</t>
  </si>
  <si>
    <t>髙野良和　VP映像演習・特別指導謝金</t>
  </si>
  <si>
    <t>ヤーッコ・サーリ　VP/UE専門指導謝金</t>
  </si>
  <si>
    <t>古岩祥幸　3DCG・アニメーション指導謝金</t>
  </si>
  <si>
    <t>クリス・エカート　契約外指導補助謝金</t>
  </si>
  <si>
    <r>
      <rPr>
        <sz val="10"/>
        <color theme="1"/>
        <rFont val="ＭＳ Ｐゴシック"/>
        <family val="3"/>
        <charset val="128"/>
      </rPr>
      <t>SIGGRAPH 2027</t>
    </r>
    <r>
      <rPr>
        <sz val="10"/>
        <color theme="1"/>
        <rFont val="Noto Sans CJK SC"/>
        <family val="2"/>
      </rPr>
      <t>参加（ヤーッコ・サーリ）航空券（</t>
    </r>
    <r>
      <rPr>
        <sz val="10"/>
        <color theme="1"/>
        <rFont val="ＭＳ Ｐゴシック"/>
        <family val="3"/>
        <charset val="128"/>
      </rPr>
      <t>EC</t>
    </r>
    <r>
      <rPr>
        <sz val="10"/>
        <color theme="1"/>
        <rFont val="Noto Sans CJK SC"/>
        <family val="2"/>
      </rPr>
      <t>）・宿泊</t>
    </r>
    <r>
      <rPr>
        <sz val="10"/>
        <color theme="1"/>
        <rFont val="ＭＳ Ｐゴシック"/>
        <family val="3"/>
        <charset val="128"/>
      </rPr>
      <t>4</t>
    </r>
    <r>
      <rPr>
        <sz val="10"/>
        <color theme="1"/>
        <rFont val="Noto Sans CJK SC"/>
        <family val="2"/>
      </rPr>
      <t>泊・参加費</t>
    </r>
  </si>
  <si>
    <r>
      <rPr>
        <sz val="10"/>
        <color theme="1"/>
        <rFont val="ＭＳ Ｐゴシック"/>
        <family val="3"/>
        <charset val="128"/>
      </rPr>
      <t>SIGGRAPH 2027</t>
    </r>
    <r>
      <rPr>
        <sz val="10"/>
        <color theme="1"/>
        <rFont val="Noto Sans CJK SC"/>
        <family val="2"/>
      </rPr>
      <t>参加（クリス・エカート）航空券（</t>
    </r>
    <r>
      <rPr>
        <sz val="10"/>
        <color theme="1"/>
        <rFont val="ＭＳ Ｐゴシック"/>
        <family val="3"/>
        <charset val="128"/>
      </rPr>
      <t>EC</t>
    </r>
    <r>
      <rPr>
        <sz val="10"/>
        <color theme="1"/>
        <rFont val="Noto Sans CJK SC"/>
        <family val="2"/>
      </rPr>
      <t>）・宿泊</t>
    </r>
    <r>
      <rPr>
        <sz val="10"/>
        <color theme="1"/>
        <rFont val="ＭＳ Ｐゴシック"/>
        <family val="3"/>
        <charset val="128"/>
      </rPr>
      <t>4</t>
    </r>
    <r>
      <rPr>
        <sz val="10"/>
        <color theme="1"/>
        <rFont val="Noto Sans CJK SC"/>
        <family val="2"/>
      </rPr>
      <t>泊・参加費</t>
    </r>
  </si>
  <si>
    <t>英語教材翻訳・英語導入資料作成（クリス・エカート担当）</t>
  </si>
  <si>
    <t>学外OJT・スタジオ視察参加者傷害保険（40名）</t>
  </si>
  <si>
    <t>　３－２．委託費内訳</t>
  </si>
  <si>
    <t>委託がある場合は、上記の「３．経費予定額」と同様に費目・種別ごとの経費を記入してください。</t>
  </si>
  <si>
    <t xml:space="preserve">  差引合計（ａ'-ｂ'）</t>
  </si>
  <si>
    <t>　４．経費予定額（令和１０年度・３年目）</t>
  </si>
  <si>
    <t>３年間の助成対象経費のうち、令和１０年度（３年目）に掛かる経費の予定額を記入してください。</t>
  </si>
  <si>
    <r>
      <rPr>
        <sz val="10"/>
        <color theme="1"/>
        <rFont val="ＭＳ Ｐゴシック"/>
        <family val="3"/>
        <charset val="128"/>
      </rPr>
      <t>SIGGRAPH 2028</t>
    </r>
    <r>
      <rPr>
        <sz val="10"/>
        <color theme="1"/>
        <rFont val="Noto Sans CJK SC"/>
        <family val="2"/>
      </rPr>
      <t>参加（ヤーッコ・サーリ）航空券（</t>
    </r>
    <r>
      <rPr>
        <sz val="10"/>
        <color theme="1"/>
        <rFont val="ＭＳ Ｐゴシック"/>
        <family val="3"/>
        <charset val="128"/>
      </rPr>
      <t>EC</t>
    </r>
    <r>
      <rPr>
        <sz val="10"/>
        <color theme="1"/>
        <rFont val="Noto Sans CJK SC"/>
        <family val="2"/>
      </rPr>
      <t>）・宿泊</t>
    </r>
    <r>
      <rPr>
        <sz val="10"/>
        <color theme="1"/>
        <rFont val="ＭＳ Ｐゴシック"/>
        <family val="3"/>
        <charset val="128"/>
      </rPr>
      <t>4</t>
    </r>
    <r>
      <rPr>
        <sz val="10"/>
        <color theme="1"/>
        <rFont val="Noto Sans CJK SC"/>
        <family val="2"/>
      </rPr>
      <t>泊・参加費</t>
    </r>
  </si>
  <si>
    <r>
      <rPr>
        <sz val="10"/>
        <color theme="1"/>
        <rFont val="ＭＳ Ｐゴシック"/>
        <family val="3"/>
        <charset val="128"/>
      </rPr>
      <t>SIGGRAPH 2028</t>
    </r>
    <r>
      <rPr>
        <sz val="10"/>
        <color theme="1"/>
        <rFont val="Noto Sans CJK SC"/>
        <family val="2"/>
      </rPr>
      <t>参加（クリス・エカート）航空券（</t>
    </r>
    <r>
      <rPr>
        <sz val="10"/>
        <color theme="1"/>
        <rFont val="ＭＳ Ｐゴシック"/>
        <family val="3"/>
        <charset val="128"/>
      </rPr>
      <t>EC</t>
    </r>
    <r>
      <rPr>
        <sz val="10"/>
        <color theme="1"/>
        <rFont val="Noto Sans CJK SC"/>
        <family val="2"/>
      </rPr>
      <t>）・宿泊</t>
    </r>
    <r>
      <rPr>
        <sz val="10"/>
        <color theme="1"/>
        <rFont val="ＭＳ Ｐゴシック"/>
        <family val="3"/>
        <charset val="128"/>
      </rPr>
      <t>4</t>
    </r>
    <r>
      <rPr>
        <sz val="10"/>
        <color theme="1"/>
        <rFont val="Noto Sans CJK SC"/>
        <family val="2"/>
      </rPr>
      <t>泊・参加費</t>
    </r>
  </si>
  <si>
    <t>成果報告会・公開研究会（1回）「最終」</t>
  </si>
  <si>
    <t>　４－２．委託費内訳</t>
  </si>
  <si>
    <t>委託がある場合は、上記の「４．経費予定額」と同様に費目・種別ごとの経費を記入してください。</t>
  </si>
  <si>
    <t xml:space="preserve">  収入見込額（b'）</t>
  </si>
  <si>
    <t>誓　　約　　書</t>
  </si>
  <si>
    <t>　 当法人（団体）は、下記１及び２のいずれにも該当しません。また、将来においても該当することはありません。
　 この誓約が虚偽であり、又はこの誓約に反したことにより、当方が不利益を被ることとなっても、異議は一切申し立てません。
　 また、当方の個人情報を警察に提供することについて同意します。</t>
  </si>
  <si>
    <t>１　助成金の交付を受ける団体として不適当な者
 (1)　法人等（個人、法人又は団体をいう。）の役員等（個人である場合はその者、法人であ
　　る場合は役員又は支店若しくは営業所（常時契約を締結する事務所をいう。）の代表者、
　　団体である場合は代表者、理事等、その他経営に実質的に関与している者をいう。）が、
　　暴力団（暴力団員による不当な行為の防止等に関する法律（平成３年法律第77号）第２
　　条第２号に規定する暴力団をいう。以下同じ）又は暴力団員（同法第２条第６号に規定
　　する暴力団員をいう。以下同じ。）であるとき
 (2)  役員等が、自己、自社若しくは第三者の不正の利益を図る目的、又は第三者に損害を
　　加える目的をもって、暴力団又は暴力団員を利用するなどしているとき
 (3)　役員等が、暴力団又は暴力団員に対して、資金等を供給し、又は便宜を供与する
　　など直接的あるいは積極的に暴力団の維持、運営に協力し、若しくは関与しているとき
 (4)　役員等が、暴力団又は暴力団員であることを知りながらこれを不当に利用するなど
　　しているとき
 (5)　役員等が、暴力団又は暴力団員と社会的に非難されるべき関係を有しているとき</t>
  </si>
  <si>
    <t>２　助成金の交付を受ける団体として不適当な行為をする者
 (1)　暴力的な要求行為を行う者
 (2)　法的な責任を超えた不当な要求行為を行う者
 (3)　取引に関して脅迫的な言動をし、又は暴力を用いる行為を行う者
 (4)　偽計又は威力を用いて契約担当官等の業務を妨害する行為を行う者
 (5)　その他前各号に準ずる行為を行う者</t>
  </si>
  <si>
    <t>令和　　年　　月　　日</t>
  </si>
  <si>
    <t>住所（又は所在地）</t>
  </si>
  <si>
    <t>〒101-0062 東京都千代田区神田駿河台4-6</t>
  </si>
  <si>
    <t>御茶ノ水ソラシティ アカデミア 4F</t>
  </si>
  <si>
    <t>代表者役職名・氏名</t>
  </si>
  <si>
    <t>※　役員の氏名及び生年月日が明らかとなる資料を添付すること。</t>
  </si>
  <si>
    <t>表紙　※テスト済　</t>
  </si>
  <si>
    <t>応募日時</t>
  </si>
  <si>
    <t>４．要望額　（千円）</t>
  </si>
  <si>
    <t>事業責任者　所属・職名</t>
  </si>
  <si>
    <t>事業責任者　フリガナ</t>
  </si>
  <si>
    <t>事業責任者　氏名</t>
  </si>
  <si>
    <t>事業責任者　電話</t>
  </si>
  <si>
    <t>事業責任者　メールアドレス</t>
  </si>
  <si>
    <t>経理責任者　所属・職名</t>
  </si>
  <si>
    <t>経理責任者　フリガナ</t>
  </si>
  <si>
    <t>経理責任者　氏名</t>
  </si>
  <si>
    <t>経理責任者　電話</t>
  </si>
  <si>
    <t>経理責任者　メールアドレス</t>
  </si>
  <si>
    <t>事務担当者　所属・職名</t>
  </si>
  <si>
    <t>事務担当者　フリガナ</t>
  </si>
  <si>
    <t>事務担当者　氏名</t>
  </si>
  <si>
    <t>事務担当者　電話</t>
  </si>
  <si>
    <t>事務担当者　メールアドレス</t>
  </si>
  <si>
    <t>１．団体概要</t>
  </si>
  <si>
    <t>住所　</t>
  </si>
  <si>
    <t>電話　</t>
  </si>
  <si>
    <t>ウェブサイト　</t>
  </si>
  <si>
    <t>団体の種類①</t>
  </si>
  <si>
    <t>団体の種類②</t>
  </si>
  <si>
    <t>団体設立年月　</t>
  </si>
  <si>
    <t>法人設立年月　</t>
  </si>
  <si>
    <t xml:space="preserve">法人番号 </t>
  </si>
  <si>
    <t>団体の体制　役　　職　　員</t>
  </si>
  <si>
    <t>団体の体制　経理担当者</t>
  </si>
  <si>
    <t>団体の体制　監査担当者</t>
  </si>
  <si>
    <t>団体の体制　左記以外の構成員　　　　　</t>
  </si>
  <si>
    <t>直近の文化庁及び他省庁等の支援事業への応募　</t>
  </si>
  <si>
    <t>団体の運営状況（自己申告書）</t>
  </si>
  <si>
    <t>①定款等○定款等を適切に定めている。</t>
  </si>
  <si>
    <t>②意思決定機関○団体の意思等を決定する機関（理事会、取締役会等）を設置している。</t>
  </si>
  <si>
    <t>②意思決定機関○理事会等を定期的に開催している。</t>
  </si>
  <si>
    <t>②意思決定機関○理事会等の議事録を作成している。</t>
  </si>
  <si>
    <t>②意思決定機関○事業計画及び予算並びに事業報告及び決算について理事会等の決議を経ている。</t>
  </si>
  <si>
    <t>②意思決定機関○理事会等の構成についてジェンダーバランスに配慮している。</t>
  </si>
  <si>
    <t>③運営事務○経理責任者は明確になっている。</t>
  </si>
  <si>
    <t xml:space="preserve">③運営事務○現預金の出納責任者は明確になっている。 </t>
  </si>
  <si>
    <t>③運営事務○銀行印の管理責任者は明確になっている。</t>
  </si>
  <si>
    <t>③運営事務○事務の執行に当たっては、各担当者の権限と責任が明確になっている。</t>
  </si>
  <si>
    <t>③運営事務○業者選定等に関する規程等を整備している。</t>
  </si>
  <si>
    <t>③運営事務○予算執行に係る全ての証憑（契約書・領収書等）を善良な管理者の注意をもって５年間以上保管している。</t>
  </si>
  <si>
    <t>③運営事務○利益相反取引を行っていない（適切な承認手続きを経たものを除く）。</t>
  </si>
  <si>
    <t>③運営事務○手許現金有高は、定期的に出納担当者以外の者が出納簿と照合している。</t>
  </si>
  <si>
    <t>③運営事務○法人税や消費税、源泉所得税等で必要な申告義務を適切に実施している。</t>
  </si>
  <si>
    <t xml:space="preserve">④財務諸表等○会計帳簿（仕訳帳・総勘定元帳等）を作成している。 </t>
  </si>
  <si>
    <t>④財務諸表等○財務諸表（貸借対照表・損益計算書等）を作成している。</t>
  </si>
  <si>
    <t>④財務諸表等○財務諸表（貸借対照表・損益計算書等）を公表している。</t>
  </si>
  <si>
    <t>⑤監査○監事・監査役等による会計監査又はこれに準じた内部監査を実施している。(要書類確認）</t>
  </si>
  <si>
    <t xml:space="preserve">⑤監査○監事等による監査報告書を作成している。 </t>
  </si>
  <si>
    <t>⑥労務管理○就業規則を明文化している。</t>
  </si>
  <si>
    <t>⑥労務管理○労働基準法に則り、雇用者の労働時間・休憩・休日等を適切に管理している。</t>
  </si>
  <si>
    <t>⑥労務管理○雇用契約書の取り交わし等、雇用者に対して書面により労働条件を明示している。</t>
  </si>
  <si>
    <t>⑥労務管理○雇用者に対し、規則等で作品制作料・出演料等の単価を定めている。</t>
  </si>
  <si>
    <t>⑥労務管理○雇用者を社会保険（健康保険、厚生年金保険、介護保険）に加入させている。※加入義務を有する有給職員を雇用していない場合等については、「なし」を選択してください。</t>
  </si>
  <si>
    <t>⑥労務管理○雇用者を労働保険（労災保険、雇用保険）に加入させている。※加入義務を有する有給職員を雇用していない場合等については、「なし」を選択してください。</t>
  </si>
  <si>
    <t>⑦芸術活動関係法令(映画分野)○プロジェクトにおいて映像制作が伴う場合、「映画制作の持続的な発展に向けた取引ガイドライン」を順守する。</t>
  </si>
  <si>
    <t>⑦芸術活動関係法令(映画分野)　「いいえ」の場合、本欄に対応を記載</t>
  </si>
  <si>
    <t>⑦芸術活動関係法令(アニメ分野)○プロジェクトにおいてアニメーション制作が伴う場合、「アニメーション制作業界における下請適正取引等の推進のためのガイドライン」を順守する。</t>
  </si>
  <si>
    <t>⑦芸術活動関係法令(アニメ分野)「いいえ」の場合、本欄に対応を記載</t>
  </si>
  <si>
    <t>⑦芸術活動関係法令(フリーランス)　(1)発注事業者としてフリーランスの芸術家・実演家等との間で業務委託等の取引を行う場合に義務化されている対応を実施している。</t>
  </si>
  <si>
    <t>⑦芸術活動関係法令(フリーランス)　(2)一定期間以上の期間行う業務を委託する場合に義務化されている対応を実施している。</t>
  </si>
  <si>
    <t>⑦芸術活動関係法令(フリーランス)　「いいえ」の場合、本欄に対応を記載</t>
  </si>
  <si>
    <t>⑦芸術活動関係法令(ハラスメント)　　１．事業主の方針の明確化及びその周知・啓発を実施している。</t>
  </si>
  <si>
    <t>⑦芸術活動関係法令(ハラスメント)　２．相談（苦情を含む）に応じ、適切に対応するために必要な体制を整備している。</t>
  </si>
  <si>
    <t>ハラスメント　３．ハラスメントに係る事後の迅速かつ適切な対応を実施している。</t>
  </si>
  <si>
    <t>⑦芸術活動関係法令(ハラスメント)　４．１から３までの措置と併せて講ずべき措置を実施している。</t>
  </si>
  <si>
    <t>⑦芸術活動関係法令(ハラスメント)　「いいえ」の場合、本欄に対応を記載</t>
  </si>
  <si>
    <t>申請資格　○大学全体として学生募集停止中の大学</t>
  </si>
  <si>
    <t>申請資格　○学校教育法（昭和22年法律第26号）第109条の規定に基づき文部科学大臣の認証を受けた者による直近の評価の結果、「不適合」の判定を受けている大学</t>
  </si>
  <si>
    <t>申請資格　○「私立大学等経常費補助金」において、定員の充足状況に係る基準以外の事由により、前年度に不交付または減額の措置を受けた大学</t>
  </si>
  <si>
    <t>申請資格　○設置計画履行状況等調査において、「指摘事項（法令違反）」が付されている大学</t>
  </si>
  <si>
    <t>申請資格　○大学、短期大学及び高等専門学校の設置等に係る認可の基準（平成15年文部科学省告示第45号）第２条第１号又は第２号のいずれかに該当する者が設置する大学</t>
  </si>
  <si>
    <t>３．プロジェクト全体の計画（３年間）</t>
  </si>
  <si>
    <t xml:space="preserve"> プロジェクトの概要　※この概要は採択時の公表資料に掲載されますのでご留意ください。</t>
  </si>
  <si>
    <t>〇本プロジェクトの実施により、期待される成果や波及効果（我が国のコンテンツ制作現場を支える中核的専門人材の育成・確保、各分野の
文化芸術活動の活性化、国際的プレゼンスの向上等）</t>
  </si>
  <si>
    <t>実施方針及び実施計画・スケジュール等の決定　※「求める要件」（１）参照、６．スケジュール詳細にも関係</t>
  </si>
  <si>
    <t>事務局の設置と実施体制の明確化　※「求める要件」（２）参照</t>
  </si>
  <si>
    <t>広報等の実施及び成果発表　※「求める要件」（３）参照</t>
  </si>
  <si>
    <t>【プログラム実施件数】目標値</t>
  </si>
  <si>
    <t>【プログラム実施件数】目標値の設定根拠</t>
  </si>
  <si>
    <t>【プログラム実施件数】計測・算出
方法</t>
  </si>
  <si>
    <t>【連携先】目標値</t>
  </si>
  <si>
    <t>【連携先】目標値の設定根拠</t>
  </si>
  <si>
    <t>【連携先】計測・算出方法</t>
  </si>
  <si>
    <t>【育成数】目標値</t>
  </si>
  <si>
    <t>【育成数】目標値の設定根拠</t>
  </si>
  <si>
    <t>【育成数】計測・算出方法</t>
  </si>
  <si>
    <t>【その他①】成果指標</t>
  </si>
  <si>
    <t>【その他①】目標値</t>
  </si>
  <si>
    <t>【その他①】目標値の
【その他①】設定根拠</t>
  </si>
  <si>
    <t>【その他①】計測・算出方法</t>
  </si>
  <si>
    <t>【その他②】成果指標</t>
  </si>
  <si>
    <t>【その他②】目標値</t>
  </si>
  <si>
    <t>【その他②】目標値の設定根拠</t>
  </si>
  <si>
    <t>【その他②】計測・算出方法</t>
  </si>
  <si>
    <t>　１０．収支予算書（単位：千円）</t>
  </si>
  <si>
    <t>人件費: 賃金</t>
  </si>
  <si>
    <t>事業費: 諸謝金</t>
  </si>
  <si>
    <t>事業費: 旅費</t>
  </si>
  <si>
    <t>事業費: 借損料</t>
  </si>
  <si>
    <t>事業費: 消耗品費</t>
  </si>
  <si>
    <t>事業費: 会議費</t>
  </si>
  <si>
    <t>事業費: 通信
運搬費</t>
  </si>
  <si>
    <t>事業費: 雑役務費</t>
  </si>
  <si>
    <t>事業費: 保険料</t>
  </si>
  <si>
    <t>誓約書</t>
  </si>
  <si>
    <t>令和　　　年　　　月　　　日</t>
  </si>
  <si>
    <t>▶シート１「財務状況」未設定</t>
  </si>
  <si>
    <t>▶６．スケジュール詳細　未設定</t>
  </si>
  <si>
    <t>▶７．連携先、８．指導者等　未設定</t>
  </si>
  <si>
    <t>▶１０．収支予算書（単位：千円）未設定</t>
  </si>
  <si>
    <t>▶経費予定額（令和８年度１年目）未設定</t>
  </si>
  <si>
    <t>▶経費予定額（令和９年度２年目）未設定</t>
  </si>
  <si>
    <t>▶経費予定額（令和１０年度３年目）未設定</t>
  </si>
  <si>
    <t>②交付要望書パワポ_ver13_沖提案追記.pptx 変更履歴</t>
  </si>
  <si>
    <t>スライド</t>
  </si>
  <si>
    <t>区分</t>
  </si>
  <si>
    <t>変更前</t>
  </si>
  <si>
    <t>変更後／追加内容</t>
  </si>
  <si>
    <t>備考</t>
  </si>
  <si>
    <t>全体方針</t>
  </si>
  <si>
    <t>タイトル統一</t>
  </si>
  <si>
    <t>ページごとにタイトルが異なる</t>
  </si>
  <si>
    <t>「デジタルハリウッド大学　AIを活用したクリエイティブ教育体系化事業　―入門から専門ワークフロー確立まで―」で全ページ統一</t>
  </si>
  <si>
    <r>
      <rPr>
        <sz val="11"/>
        <color theme="1"/>
        <rFont val="游ゴシック"/>
        <family val="2"/>
        <charset val="128"/>
      </rPr>
      <t>1</t>
    </r>
    <r>
      <rPr>
        <sz val="11"/>
        <color theme="1"/>
        <rFont val="Noto Sans CJK SC"/>
        <family val="2"/>
      </rPr>
      <t>ページごとに変えない</t>
    </r>
  </si>
  <si>
    <r>
      <rPr>
        <sz val="11"/>
        <color theme="1"/>
        <rFont val="游ゴシック"/>
        <family val="2"/>
        <charset val="128"/>
      </rPr>
      <t>P1</t>
    </r>
    <r>
      <rPr>
        <sz val="11"/>
        <color theme="1"/>
        <rFont val="Noto Sans CJK SC"/>
        <family val="2"/>
      </rPr>
      <t>（表紙）</t>
    </r>
  </si>
  <si>
    <t>文言削除</t>
  </si>
  <si>
    <r>
      <rPr>
        <sz val="11"/>
        <color theme="1"/>
        <rFont val="游ゴシック"/>
        <family val="2"/>
        <charset val="128"/>
      </rPr>
      <t>VFX-JAPAN</t>
    </r>
    <r>
      <rPr>
        <sz val="11"/>
        <color theme="1"/>
        <rFont val="Noto Sans CJK SC"/>
        <family val="2"/>
      </rPr>
      <t>等業界団体との事前協議に基づき、</t>
    </r>
  </si>
  <si>
    <t>（削除）</t>
  </si>
  <si>
    <t>P1</t>
  </si>
  <si>
    <t>文言修正</t>
  </si>
  <si>
    <t>修了生</t>
  </si>
  <si>
    <t>卒業生・修了生</t>
  </si>
  <si>
    <t>テキストボックス追加</t>
  </si>
  <si>
    <t>プロジェクト名変更案：AIを活用したクリエイティブ教育体系化事業　―入門から専門ワークフロー確立まで―</t>
  </si>
  <si>
    <t>修正履歴ボックス（赤文字・黄背景）</t>
  </si>
  <si>
    <t>テキストボックス追加（4点）</t>
  </si>
  <si>
    <t>①プロジェクト概要　②人材ニーズ　③育成概要　④成果＋持続的基盤</t>
  </si>
  <si>
    <t>水色背景・紺文字、left:790</t>
  </si>
  <si>
    <t>P2</t>
  </si>
  <si>
    <t>変更案ボックス追加（3点）</t>
  </si>
  <si>
    <r>
      <rPr>
        <sz val="11"/>
        <color theme="1"/>
        <rFont val="游ゴシック"/>
        <family val="2"/>
        <charset val="128"/>
      </rPr>
      <t>3</t>
    </r>
    <r>
      <rPr>
        <sz val="11"/>
        <color theme="1"/>
        <rFont val="Noto Sans CJK SC"/>
        <family val="2"/>
      </rPr>
      <t>年</t>
    </r>
    <r>
      <rPr>
        <sz val="11"/>
        <color theme="1"/>
        <rFont val="游ゴシック"/>
        <family val="2"/>
        <charset val="128"/>
      </rPr>
      <t>×2</t>
    </r>
    <r>
      <rPr>
        <sz val="11"/>
        <color theme="1"/>
        <rFont val="Noto Sans CJK SC"/>
        <family val="2"/>
      </rPr>
      <t>軸（</t>
    </r>
    <r>
      <rPr>
        <sz val="11"/>
        <color theme="1"/>
        <rFont val="游ゴシック"/>
        <family val="2"/>
        <charset val="128"/>
      </rPr>
      <t>VP</t>
    </r>
    <r>
      <rPr>
        <sz val="11"/>
        <color theme="1"/>
        <rFont val="Noto Sans CJK SC"/>
        <family val="2"/>
      </rPr>
      <t>中上級＋ベネッセ</t>
    </r>
    <r>
      <rPr>
        <sz val="11"/>
        <color theme="1"/>
        <rFont val="游ゴシック"/>
        <family val="2"/>
        <charset val="128"/>
      </rPr>
      <t>AI</t>
    </r>
    <r>
      <rPr>
        <sz val="11"/>
        <color theme="1"/>
        <rFont val="Noto Sans CJK SC"/>
        <family val="2"/>
      </rPr>
      <t>教育研究所</t>
    </r>
    <r>
      <rPr>
        <sz val="11"/>
        <color theme="1"/>
        <rFont val="游ゴシック"/>
        <family val="2"/>
        <charset val="128"/>
      </rPr>
      <t>×</t>
    </r>
    <r>
      <rPr>
        <sz val="11"/>
        <color theme="1"/>
        <rFont val="Noto Sans CJK SC"/>
        <family val="2"/>
      </rPr>
      <t>デジハリ共催ゼミ）のロードマップ</t>
    </r>
  </si>
  <si>
    <t>評価指標・長期アウトカム・予算はそのまま</t>
  </si>
  <si>
    <t>設計方針</t>
  </si>
  <si>
    <t>ベネッセ企業ゼミ</t>
  </si>
  <si>
    <t>ベネッセAI教育研究所とデジタルハリウッド大学が共催するゼミ（以下企業ゼミ）</t>
  </si>
  <si>
    <t>初級=企業ゼミ、中級=各ゼミ（クリエイティブ）</t>
  </si>
  <si>
    <t>P3</t>
  </si>
  <si>
    <t>変更案ボックス追加</t>
  </si>
  <si>
    <r>
      <rPr>
        <sz val="11"/>
        <color theme="1"/>
        <rFont val="游ゴシック"/>
        <family val="2"/>
        <charset val="128"/>
      </rPr>
      <t>3</t>
    </r>
    <r>
      <rPr>
        <sz val="11"/>
        <color theme="1"/>
        <rFont val="Noto Sans CJK SC"/>
        <family val="2"/>
      </rPr>
      <t>ページ目修正案反映</t>
    </r>
  </si>
  <si>
    <t>P4</t>
  </si>
  <si>
    <r>
      <rPr>
        <sz val="11"/>
        <color theme="1"/>
        <rFont val="游ゴシック"/>
        <family val="2"/>
        <charset val="128"/>
      </rPr>
      <t>4</t>
    </r>
    <r>
      <rPr>
        <sz val="11"/>
        <color theme="1"/>
        <rFont val="Noto Sans CJK SC"/>
        <family val="2"/>
      </rPr>
      <t>ページ目修正案反映</t>
    </r>
  </si>
  <si>
    <t>P5</t>
  </si>
  <si>
    <t>事実誤り修正</t>
  </si>
  <si>
    <t>高性能PC 250台</t>
  </si>
  <si>
    <r>
      <rPr>
        <sz val="11"/>
        <color theme="1"/>
        <rFont val="游ゴシック"/>
        <family val="2"/>
        <charset val="128"/>
      </rPr>
      <t>VP</t>
    </r>
    <r>
      <rPr>
        <sz val="11"/>
        <color theme="1"/>
        <rFont val="Noto Sans CJK SC"/>
        <family val="2"/>
      </rPr>
      <t>と直接関係ないため削除</t>
    </r>
  </si>
  <si>
    <t>宣言追加</t>
  </si>
  <si>
    <t>本資料はVP（バーチャルプロダクション）に特化した資料である旨を明記</t>
  </si>
  <si>
    <r>
      <rPr>
        <sz val="11"/>
        <color theme="1"/>
        <rFont val="游ゴシック"/>
        <family val="2"/>
        <charset val="128"/>
      </rPr>
      <t>5</t>
    </r>
    <r>
      <rPr>
        <sz val="11"/>
        <color theme="1"/>
        <rFont val="Noto Sans CJK SC"/>
        <family val="2"/>
      </rPr>
      <t>ページ目修正案ボックスをすべて作成</t>
    </r>
  </si>
  <si>
    <r>
      <rPr>
        <sz val="11"/>
        <color theme="1"/>
        <rFont val="游ゴシック"/>
        <family val="2"/>
        <charset val="128"/>
      </rPr>
      <t>P6</t>
    </r>
    <r>
      <rPr>
        <sz val="11"/>
        <color theme="1"/>
        <rFont val="Noto Sans CJK SC"/>
        <family val="2"/>
      </rPr>
      <t>以降</t>
    </r>
  </si>
  <si>
    <t>手をつけず</t>
  </si>
  <si>
    <t>テンプレ部分のため放置</t>
  </si>
  <si>
    <t>コメント（差し替え文案）一覧</t>
  </si>
  <si>
    <t>#</t>
  </si>
  <si>
    <t>シート名</t>
  </si>
  <si>
    <t>セル</t>
  </si>
  <si>
    <t>種別・タイトル</t>
  </si>
  <si>
    <t>差し替え文案・修正提案（要約）</t>
  </si>
  <si>
    <t>対応状況</t>
  </si>
  <si>
    <t>３．全体計画、４．観点対応</t>
  </si>
  <si>
    <t>B4</t>
  </si>
  <si>
    <t>修正文案（観点①）3階層育成・AIネイティブ教育基軸</t>
  </si>
  <si>
    <t>本事業は、AI・バーチャルプロダクション（VP）・3DCGを統合的に運用し、映像・VFX・3DCG・アニメーション・ゲームの5分野を横断して活躍できる「AIネイティブ・クリエイター」を、3年間で累計810名（入門600名・中級150名・上級60名）育成する。生成AIとリアルタイム制作の標準化により、3DCG制作フローはアニメ・ゲーム・映像で共通基盤化しつつあり、業界別の育成ではAI時代の制作フローに対応できない。デジタルハリウッド大学が有するLEDウォールVP環境・国際的VFX教授陣を活用し、生成AI×バーチャルプロダクション×3DCGを統合した「AIネイティブ・ワークフロー」を中核とする実践型教育プログラムを実施する。入門コースはベネッセAI教育研究所とデジタルハリウッド大学が共催する企業ゼミ（以下「企業ゼミ」）を基盤とし、中級・上級へのシームレスな接続を確保する。ベネッセAI教育研究所と連携し、教育効果のEBPM評価および全国教育機関への展開を行う。</t>
  </si>
  <si>
    <t>✅ 反映待ち</t>
  </si>
  <si>
    <t>B7</t>
  </si>
  <si>
    <t>修正提案：VFX-JAPAN削除・修了生→卒業生・修了生</t>
  </si>
  <si>
    <t>直接成果として、3年間で810名のAIネイティブ・クリエイターを育成し、業界就業率70%以上、卒業生・修了生の修了後3年継続従事率80%以上を実現する。波及効果として、教材公開・FD研修・出前授業・サマースクール等を通じて、全国の大学・専門学校30機関以上、中等教育機関60校以上にモデルを展開し、教員150名以上を育成する。さらに、業界標準コンピテンシーモデル・国産デジタルデザインプラットフォーム要件定義書を策定・公開し、業界団体（CESA等）・関係省庁（経済産業省・文化庁・内閣府）に共有することで、政策・産業界が参照可能な公共財として提供する。本事業は単一大学の取組を超え、AI時代の産業横断型AIネイティブ・クリエイター教育モデルを日本で初めて構築するものであり、コンテンツ産業の国際競争力強化と文化芸術の国際的プレゼンス向上に貢献する。</t>
  </si>
  <si>
    <t>B11</t>
  </si>
  <si>
    <t>修正提案：職種表記・対応明示</t>
  </si>
  <si>
    <t>① マンガ、アニメ、ゲーム、映像、音楽（ポピュラーミュージック関係）等の分野において、海外発信を見据えたコンテンツ制作の高品質化・需要増大に対して必要となる中核的専門人材（アニメーター（原画、動画、背景）、美術、撮影、編集、音響、ゲームプログラマー、ゲームデザイナー、3DCGクリエイター、VFXクリエイター、VPスーパーバイザー、リアルタイムCGエンジニア、サウンドクリエイター、マンガ翻訳者等）を育成・確保するためのプロジェクトであること。</t>
  </si>
  <si>
    <t>B14</t>
  </si>
  <si>
    <t>修正文案（観点①対応・詳細版）</t>
  </si>
  <si>
    <t>本事業は募集要領で例示された中核的専門人材（3DCGクリエイター、VFXクリエイター等）を、AI時代の産業横断型制作フローに対応した形へ発展させ、映像・VFX・3DCG・アニメーション・ゲームの5分野にわたる制作中核人材を育成する。入門・中級・上級の3階層で、Claude（生成AI）＋業界標準ツール群（Adobe/Figma/Canva/Blender/Unreal Engine）の体系学習を行う基本技術習得、エカート教授（元Framestore Los Angeles設立メンバー）によるFramestore流ワークフロー継承、AI×LEDウォール統合ワークフロー設計能力の育成、ベネッセAI教育研究所による業界マッチング・3年継続追跡を統合的に実施し、4観点すべてを充足する設計とする。入門コースはベネッセAI教育研究所とデジタルハリウッド大学が共催する企業ゼミを基盤とし、年間200名（前期100名・後期100名）を受け入れる。</t>
  </si>
  <si>
    <t>B17</t>
  </si>
  <si>
    <t>修正文案（観点②対応）就業・定着基盤</t>
  </si>
  <si>
    <t>本学はデジタルハリウッド創設以来30年、累記9万人以上の卒業生・修了生を輩出し、映像・アニメ・VFX・ゲーム・CG等の各産業で第一線で活躍する卒業生・修了生を多数排出してきた実績を有する。本事業ではこの実績基盤の上に、業界横断的な5領域（映像/アニメ/ゲーム/AI制作/XR）の企業群とOJT・インターンシップ・実制作指導の連携を構築し、卒業生・修了生は特定業界に閉じない選択肢を持つ。ベネッセAI教育研究所が卒業生・修了生の3年継続追跡（産業横断的就業状況・継続従事率）を担い、業界就業率70%以上、卒業生・修了生の修了後3年継続従事率80%以上を目標とする。また、フリーランス契約適正化研修、業界標準コンピテンシーモデル策定により、定着の質的基盤も整備する。事業終了後Train the Trainerによる指導者150名育成と卒業生・修了生コミュニティ運営により、人材育成の自走可能な構造を確立する。</t>
  </si>
  <si>
    <t>B20</t>
  </si>
  <si>
    <t>修正提案：出典・根拠確認</t>
  </si>
  <si>
    <t>人材ニーズは公的・業界データで裏付けられている。経産省「エンタメ・クリエイティブ産業戦略」（2025年6月）は、コンテンツ産業の海外売上が2023年時点で細4.5兆円、205033年に20兆円目標を掛げ、「クリエイター・ビジネス人材の不足」を「8つの不足」の一つに明示。帝国データバンク「アニメ制作市場動向調査2025」ではアニメ制作市場が3,621億円と過去最高更新の一方、元請60%が業績悪化、「利益なき繁忙」と分析。CGWORLDもVFXアーティスト・3DCGアニメーター等の慕性的不足を指摘。デロイト分析でもVP人材（LEDキャリブレーション、Unreal Engineオペレーター等）が不足している。本事業は3年間累誈810名（年270名）のAIネイティブクリエイターを直接輩出するとともに、教材公開・FD研修・出前授業を通じ全国90機関校に波及させ、間接的な人材供給基盤の拡大にも貢献する。</t>
  </si>
  <si>
    <t>⚠️ 要確認</t>
  </si>
  <si>
    <t>B23</t>
  </si>
  <si>
    <t>修正提案：VFX-JAPAN削除・協議状況</t>
  </si>
  <si>
    <t>本事業は連携先ベネッセAI教育研究所との2者連携にて補助型応募要件を満たす（同研究所は教育効果のEBPM評価機関であると同時に、教育モデルを全国の教育機関へ展開する社会実装プレイヤー）。事前協議は実施済みであり、令和8年度第1四半期に正式協定を締結する。ベネッセは①受講生事前事後アセスメントの設計・実施、②卒業生・修了生3年継続追跡、③EBPM評価・要因分析、④研究レポート（中間2版・最絈1版）共同編集、⑤全国教育機関への教育モデル展開支援、⑥高大接続設計、⑦オンライン教育プラットフォームによる普及を担当する。さらに事業実施を通じて、業界横断連携（5領域の企業群）、教育波及連携（全国大学30機関以上/中高60校以上）、行政・産業共有（経産省・文化庁・CESA等）へ拡大する。</t>
  </si>
  <si>
    <t>５．プロジェクト詳細</t>
  </si>
  <si>
    <t>B5</t>
  </si>
  <si>
    <t>修正文案（実施方針・3階層詳細）</t>
  </si>
  <si>
    <t>【実施方针】
産業横断型AIネイティブ・クリエイターの育成を、入門・中級・上級の3階層で実施する。
入門コース（前期100名・後期100名）はベネッセAI教育研究所とデジタルハリウッド大学が共催する企業ゼミを基盤とし。3DCG・AI・VPの基礎を全員が共通基盤として学ぶ。
中級コース（50名/年）は本人の希望と適性に応じて映像・VFX・3DCG・アニメーション・ゲームの5分野いずれかの専門領域に分化する。
上級コース（20名/年）は中級修了者から選抜し、VP・リアルタイムCGの高度専門能力を養成する。
【決定プロセス】
令和8年度第1～第2四半期にカリキュラム共同開発（エカート教授との統合設計）、AI・VPスキル標準の策定、各コース第1期向け教材開発を実施。
第3四半期から入門・中級・上級の同時開講、LEDウォール環境を活用した産業横断型実制作演習の本格稼働、エカート教授による上級指導を開始する。
【AIネイティブワークフロー】
3DCG制作工程を「①企画・開発、②プリプロダクション、③バーチャルプロダクション、④ポストプロダクション、⑤検証・アーカイブ」の5段階に再設計し、各段階でAI・リアルタイム制作・VPを統合的に活用する。</t>
  </si>
  <si>
    <t>B13</t>
  </si>
  <si>
    <t>修正文案（実施体制・事務局）</t>
  </si>
  <si>
    <t>【事務局】
専従事務局をデジタルハリウッド大学内に設置し、専従スタッフ（プログラム・ディレクター、教務担当、広報担当、経理担当）を配置する。年度ごとの執行計画と実績管理を行う。
【実施体制】
中核実施機関：デジタルハリウッド大学（教育設計・運営・成果評価・卒業生・修了生支援）。中核指導者：クリストファー・ハンス・エカート教授（元Framestore Los Angeles設立メンバー、MTV Video Music Award最優秀視覚効果賞受賞、令和8年招趘予定）。
【連携先】
ベネッセAI教育研究所が教育効果測定・卒業生・修了生追跡・EBPM評価・全国教育機関展開支援・高大接続設計・オンライン普及を担当。
【自己負担金確保】
1,500万円は本学自己資金により確実に確保。安定的な財務基盤に裏付け。</t>
  </si>
  <si>
    <t>B21</t>
  </si>
  <si>
    <t>修正文案（広報・成果発表・モデル展開）</t>
  </si>
  <si>
    <t>特設Web・SNS・業界メディア。年次研究会4回×3年・延べ1,500名。教材公開50本以上・FD研修年2回。出前授業年4回・サマースクール年1回</t>
  </si>
  <si>
    <t>７．連携先、８．指導者等</t>
  </si>
  <si>
    <t>B22</t>
  </si>
  <si>
    <t>記載文案：髙野良和（准教授）</t>
  </si>
  <si>
    <t>映像制作・MV・VJ・広告映像・クリエイター育成。GROUNDRIDDIM プロデューサー。藤井風「きらり」MV（5億回再生）。2014年〜デジハリ大学教員</t>
  </si>
  <si>
    <t>🔵 記入済み</t>
  </si>
  <si>
    <t>記載文案：ヤーッコ・サーリ（特任准教授）</t>
  </si>
  <si>
    <r>
      <rPr>
        <sz val="11"/>
        <color theme="1"/>
        <rFont val="游ゴシック"/>
        <family val="2"/>
        <charset val="128"/>
      </rPr>
      <t>3</t>
    </r>
    <r>
      <rPr>
        <sz val="11"/>
        <color theme="1"/>
        <rFont val="Noto Sans CJK SC"/>
        <family val="2"/>
      </rPr>
      <t>層構成・年度別プログラム実施件数：
・入門コース（前期・後期）</t>
    </r>
    <r>
      <rPr>
        <sz val="11"/>
        <color theme="1"/>
        <rFont val="游ゴシック"/>
        <family val="2"/>
        <charset val="128"/>
      </rPr>
      <t>×3</t>
    </r>
    <r>
      <rPr>
        <sz val="11"/>
        <color theme="1"/>
        <rFont val="Noto Sans CJK SC"/>
        <family val="2"/>
      </rPr>
      <t>年＝</t>
    </r>
    <r>
      <rPr>
        <sz val="11"/>
        <color theme="1"/>
        <rFont val="游ゴシック"/>
        <family val="2"/>
        <charset val="128"/>
      </rPr>
      <t>6</t>
    </r>
    <r>
      <rPr>
        <sz val="11"/>
        <color theme="1"/>
        <rFont val="Noto Sans CJK SC"/>
        <family val="2"/>
      </rPr>
      <t>コース
・中級コース（</t>
    </r>
    <r>
      <rPr>
        <sz val="11"/>
        <color theme="1"/>
        <rFont val="游ゴシック"/>
        <family val="2"/>
        <charset val="128"/>
      </rPr>
      <t>5</t>
    </r>
    <r>
      <rPr>
        <sz val="11"/>
        <color theme="1"/>
        <rFont val="Noto Sans CJK SC"/>
        <family val="2"/>
      </rPr>
      <t>分野）</t>
    </r>
    <r>
      <rPr>
        <sz val="11"/>
        <color theme="1"/>
        <rFont val="游ゴシック"/>
        <family val="2"/>
        <charset val="128"/>
      </rPr>
      <t>×3</t>
    </r>
    <r>
      <rPr>
        <sz val="11"/>
        <color theme="1"/>
        <rFont val="Noto Sans CJK SC"/>
        <family val="2"/>
      </rPr>
      <t>年＝</t>
    </r>
    <r>
      <rPr>
        <sz val="11"/>
        <color theme="1"/>
        <rFont val="游ゴシック"/>
        <family val="2"/>
        <charset val="128"/>
      </rPr>
      <t>15</t>
    </r>
    <r>
      <rPr>
        <sz val="11"/>
        <color theme="1"/>
        <rFont val="Noto Sans CJK SC"/>
        <family val="2"/>
      </rPr>
      <t>コース
・上級コース</t>
    </r>
    <r>
      <rPr>
        <sz val="11"/>
        <color theme="1"/>
        <rFont val="游ゴシック"/>
        <family val="2"/>
        <charset val="128"/>
      </rPr>
      <t>×3</t>
    </r>
    <r>
      <rPr>
        <sz val="11"/>
        <color theme="1"/>
        <rFont val="Noto Sans CJK SC"/>
        <family val="2"/>
      </rPr>
      <t>年＝</t>
    </r>
    <r>
      <rPr>
        <sz val="11"/>
        <color theme="1"/>
        <rFont val="游ゴシック"/>
        <family val="2"/>
        <charset val="128"/>
      </rPr>
      <t>3</t>
    </r>
    <r>
      <rPr>
        <sz val="11"/>
        <color theme="1"/>
        <rFont val="Noto Sans CJK SC"/>
        <family val="2"/>
      </rPr>
      <t>コース
・</t>
    </r>
    <r>
      <rPr>
        <sz val="11"/>
        <color theme="1"/>
        <rFont val="游ゴシック"/>
        <family val="2"/>
        <charset val="128"/>
      </rPr>
      <t>FD</t>
    </r>
    <r>
      <rPr>
        <sz val="11"/>
        <color theme="1"/>
        <rFont val="Noto Sans CJK SC"/>
        <family val="2"/>
      </rPr>
      <t>研修（年</t>
    </r>
    <r>
      <rPr>
        <sz val="11"/>
        <color theme="1"/>
        <rFont val="游ゴシック"/>
        <family val="2"/>
        <charset val="128"/>
      </rPr>
      <t>2</t>
    </r>
    <r>
      <rPr>
        <sz val="11"/>
        <color theme="1"/>
        <rFont val="Noto Sans CJK SC"/>
        <family val="2"/>
      </rPr>
      <t>回）</t>
    </r>
    <r>
      <rPr>
        <sz val="11"/>
        <color theme="1"/>
        <rFont val="游ゴシック"/>
        <family val="2"/>
        <charset val="128"/>
      </rPr>
      <t>×3</t>
    </r>
    <r>
      <rPr>
        <sz val="11"/>
        <color theme="1"/>
        <rFont val="Noto Sans CJK SC"/>
        <family val="2"/>
      </rPr>
      <t>年＝</t>
    </r>
    <r>
      <rPr>
        <sz val="11"/>
        <color theme="1"/>
        <rFont val="游ゴシック"/>
        <family val="2"/>
        <charset val="128"/>
      </rPr>
      <t>6</t>
    </r>
    <r>
      <rPr>
        <sz val="11"/>
        <color theme="1"/>
        <rFont val="Noto Sans CJK SC"/>
        <family val="2"/>
      </rPr>
      <t>回
・出前授業（年</t>
    </r>
    <r>
      <rPr>
        <sz val="11"/>
        <color theme="1"/>
        <rFont val="游ゴシック"/>
        <family val="2"/>
        <charset val="128"/>
      </rPr>
      <t>4</t>
    </r>
    <r>
      <rPr>
        <sz val="11"/>
        <color theme="1"/>
        <rFont val="Noto Sans CJK SC"/>
        <family val="2"/>
      </rPr>
      <t>回）</t>
    </r>
    <r>
      <rPr>
        <sz val="11"/>
        <color theme="1"/>
        <rFont val="游ゴシック"/>
        <family val="2"/>
        <charset val="128"/>
      </rPr>
      <t>×3</t>
    </r>
    <r>
      <rPr>
        <sz val="11"/>
        <color theme="1"/>
        <rFont val="Noto Sans CJK SC"/>
        <family val="2"/>
      </rPr>
      <t>年＝</t>
    </r>
    <r>
      <rPr>
        <sz val="11"/>
        <color theme="1"/>
        <rFont val="游ゴシック"/>
        <family val="2"/>
        <charset val="128"/>
      </rPr>
      <t>12</t>
    </r>
    <r>
      <rPr>
        <sz val="11"/>
        <color theme="1"/>
        <rFont val="Noto Sans CJK SC"/>
        <family val="2"/>
      </rPr>
      <t>回
・サマースクール（年</t>
    </r>
    <r>
      <rPr>
        <sz val="11"/>
        <color theme="1"/>
        <rFont val="游ゴシック"/>
        <family val="2"/>
        <charset val="128"/>
      </rPr>
      <t>1</t>
    </r>
    <r>
      <rPr>
        <sz val="11"/>
        <color theme="1"/>
        <rFont val="Noto Sans CJK SC"/>
        <family val="2"/>
      </rPr>
      <t>回）</t>
    </r>
    <r>
      <rPr>
        <sz val="11"/>
        <color theme="1"/>
        <rFont val="游ゴシック"/>
        <family val="2"/>
        <charset val="128"/>
      </rPr>
      <t>×3</t>
    </r>
    <r>
      <rPr>
        <sz val="11"/>
        <color theme="1"/>
        <rFont val="Noto Sans CJK SC"/>
        <family val="2"/>
      </rPr>
      <t>年＝</t>
    </r>
    <r>
      <rPr>
        <sz val="11"/>
        <color theme="1"/>
        <rFont val="游ゴシック"/>
        <family val="2"/>
        <charset val="128"/>
      </rPr>
      <t>3</t>
    </r>
    <r>
      <rPr>
        <sz val="11"/>
        <color theme="1"/>
        <rFont val="Noto Sans CJK SC"/>
        <family val="2"/>
      </rPr>
      <t>回
・年次研究会（年</t>
    </r>
    <r>
      <rPr>
        <sz val="11"/>
        <color theme="1"/>
        <rFont val="游ゴシック"/>
        <family val="2"/>
        <charset val="128"/>
      </rPr>
      <t>4</t>
    </r>
    <r>
      <rPr>
        <sz val="11"/>
        <color theme="1"/>
        <rFont val="Noto Sans CJK SC"/>
        <family val="2"/>
      </rPr>
      <t>回）</t>
    </r>
    <r>
      <rPr>
        <sz val="11"/>
        <color theme="1"/>
        <rFont val="游ゴシック"/>
        <family val="2"/>
        <charset val="128"/>
      </rPr>
      <t>×3</t>
    </r>
    <r>
      <rPr>
        <sz val="11"/>
        <color theme="1"/>
        <rFont val="Noto Sans CJK SC"/>
        <family val="2"/>
      </rPr>
      <t>年＝</t>
    </r>
    <r>
      <rPr>
        <sz val="11"/>
        <color theme="1"/>
        <rFont val="游ゴシック"/>
        <family val="2"/>
        <charset val="128"/>
      </rPr>
      <t>12</t>
    </r>
    <r>
      <rPr>
        <sz val="11"/>
        <color theme="1"/>
        <rFont val="Noto Sans CJK SC"/>
        <family val="2"/>
      </rPr>
      <t>回
→、</t>
    </r>
    <r>
      <rPr>
        <sz val="11"/>
        <color theme="1"/>
        <rFont val="游ゴシック"/>
        <family val="2"/>
        <charset val="128"/>
      </rPr>
      <t>3</t>
    </r>
    <r>
      <rPr>
        <sz val="11"/>
        <color theme="1"/>
        <rFont val="Noto Sans CJK SC"/>
        <family val="2"/>
      </rPr>
      <t>年間実施プログラム・イベント等合計</t>
    </r>
    <r>
      <rPr>
        <sz val="11"/>
        <color theme="1"/>
        <rFont val="游ゴシック"/>
        <family val="2"/>
        <charset val="128"/>
      </rPr>
      <t>30</t>
    </r>
    <r>
      <rPr>
        <sz val="11"/>
        <color theme="1"/>
        <rFont val="Noto Sans CJK SC"/>
        <family val="2"/>
      </rPr>
      <t>件以上</t>
    </r>
  </si>
  <si>
    <t>B24</t>
  </si>
  <si>
    <t>記載文案：古岩祥幸（非常勤講師）</t>
  </si>
  <si>
    <t>波及・普及対象：全国大学・専門学枉30機関以上・中等教育機関60校以上・業界横断連携企業群（5領域）・CESA等業界団体10団体以上・関係省庁3省庁以上。「VFX-JAPAN等」を削除し「CESA等業界団体」に統一。</t>
  </si>
  <si>
    <t>E5</t>
  </si>
  <si>
    <t>修正文案：実施プログラム件数</t>
  </si>
  <si>
    <t>入門600名＋中級150名＋上級60名（3年累誈810名）。
LEDウォール（W6.5m×H2.5m）およびベネッセAI教育研究所共催企業ゼミ基盤が育成体制を支える。
「高性能PC 250台」「大学4ラボ」を削除し、実際のVP実践環境に統一。</t>
  </si>
  <si>
    <t>E9</t>
  </si>
  <si>
    <t>修正文案：波及・普及対象</t>
  </si>
  <si>
    <t>本学はデジタルハリウッド創設以来30年、9万人以上の卒業生・修了生輩出実績。業界横断連携5領域で就業先を多様化。「修了生」→「卒業生・修了生」に統一。業界就業率70%以上・修了後3年継続従事率80%以上が目標。</t>
  </si>
  <si>
    <t>E14</t>
  </si>
  <si>
    <t>修正文案：育成人数・実績根拠</t>
  </si>
  <si>
    <t>【広報】
特設Webサイト・SNS・大学広報を活用した受講生募集と事業情報発信。業界専門メディア（CGWORLDほか）への寄稿・掘載。年次研究会の開催（年4回×3年、延べ参加者1,500名以上）。
【成果発表】
中間研究レポート（令和8年度末・令和9年度末）、最終研究レポート（令和10年度末）を公開。実制作作品（3年累誈24作品以上）の発表会開催。
【モデル展開】
教材公開ライセンス（累誈50本以上）、FD研修（年2回、累誈150名以上）、DXハイスクール等への出前授業（年4回、累誈60校以上）、サマースクール（年1回×3年、累誈修了者120名以上）を実施。
【国際発信】
令和10年度第3四半期にプロジェクト成果国際カンファレンスを開催。
【業界・行政共有】
業界標準コンピテンシーモデルおよび国産デジタルデザインプラットフォーム要件定義書を策定・公開し、経済産業省・文化庁・内閣府への報告、業界団体（CESA等）への共有を実施。関連シンポジウムを累誈3回以上開催。</t>
  </si>
  <si>
    <t>E19</t>
  </si>
  <si>
    <t>修正文案：就職・定着率根拠</t>
  </si>
  <si>
    <t>卒業生・修了生の修了後3年継続従事率80%以上・業界就業率70%以上。本学デジタルハリウッド創設30年・9万人以上輩出実績。業界横断連携5領域で就業先多様化。「修了生」→「卒業生・修了生」に統一。</t>
  </si>
  <si>
    <t>E24</t>
  </si>
  <si>
    <t>修正文案：モデル展開根拠</t>
  </si>
  <si>
    <r>
      <rPr>
        <sz val="11"/>
        <color theme="1"/>
        <rFont val="游ゴシック"/>
        <family val="2"/>
        <charset val="128"/>
      </rPr>
      <t>LED</t>
    </r>
    <r>
      <rPr>
        <sz val="11"/>
        <color theme="1"/>
        <rFont val="Noto Sans CJK SC"/>
        <family val="2"/>
      </rPr>
      <t>ウォール・ベネッセ</t>
    </r>
    <r>
      <rPr>
        <sz val="11"/>
        <color theme="1"/>
        <rFont val="游ゴシック"/>
        <family val="2"/>
        <charset val="128"/>
      </rPr>
      <t>AI</t>
    </r>
    <r>
      <rPr>
        <sz val="11"/>
        <color theme="1"/>
        <rFont val="Noto Sans CJK SC"/>
        <family val="2"/>
      </rPr>
      <t>教育研究所連携基盤を背景に、産業横断型</t>
    </r>
    <r>
      <rPr>
        <sz val="11"/>
        <color theme="1"/>
        <rFont val="游ゴシック"/>
        <family val="2"/>
        <charset val="128"/>
      </rPr>
      <t>AI</t>
    </r>
    <r>
      <rPr>
        <sz val="11"/>
        <color theme="1"/>
        <rFont val="Noto Sans CJK SC"/>
        <family val="2"/>
      </rPr>
      <t>ネイティブクリエイター教育モデルを公共財として展開する。「</t>
    </r>
    <r>
      <rPr>
        <sz val="11"/>
        <color theme="1"/>
        <rFont val="游ゴシック"/>
        <family val="2"/>
        <charset val="128"/>
      </rPr>
      <t>AI</t>
    </r>
    <r>
      <rPr>
        <sz val="11"/>
        <color theme="1"/>
        <rFont val="Noto Sans CJK SC"/>
        <family val="2"/>
      </rPr>
      <t>環境・大学</t>
    </r>
    <r>
      <rPr>
        <sz val="11"/>
        <color theme="1"/>
        <rFont val="游ゴシック"/>
        <family val="2"/>
        <charset val="128"/>
      </rPr>
      <t>4</t>
    </r>
    <r>
      <rPr>
        <sz val="11"/>
        <color theme="1"/>
        <rFont val="Noto Sans CJK SC"/>
        <family val="2"/>
      </rPr>
      <t>ラボ」を削除。「産業横断型</t>
    </r>
    <r>
      <rPr>
        <sz val="11"/>
        <color theme="1"/>
        <rFont val="游ゴシック"/>
        <family val="2"/>
        <charset val="128"/>
      </rPr>
      <t>3DCG</t>
    </r>
    <r>
      <rPr>
        <sz val="11"/>
        <color theme="1"/>
        <rFont val="Noto Sans CJK SC"/>
        <family val="2"/>
      </rPr>
      <t>制作中核人材育成モデル」→「</t>
    </r>
    <r>
      <rPr>
        <sz val="11"/>
        <color theme="1"/>
        <rFont val="游ゴシック"/>
        <family val="2"/>
        <charset val="128"/>
      </rPr>
      <t>AI</t>
    </r>
    <r>
      <rPr>
        <sz val="11"/>
        <color theme="1"/>
        <rFont val="Noto Sans CJK SC"/>
        <family val="2"/>
      </rPr>
      <t>ネイティブクリエイター教育モデル」に統一。</t>
    </r>
  </si>
  <si>
    <t>凡例：</t>
  </si>
  <si>
    <t>🔵 記入済み（セルに値を書き込み完了）</t>
  </si>
  <si>
    <t>✅ 反映待ち（Excelコメントのみ、セル修正は手動対応）</t>
  </si>
  <si>
    <t>⚠️ 要確認（根拠・出典・連携先記名などの追加作業が必要）</t>
  </si>
  <si>
    <t>作業サマリー　②交付要望書パワポ_ver13 / Excel 整備記録</t>
  </si>
  <si>
    <t>作業日</t>
  </si>
  <si>
    <r>
      <rPr>
        <b/>
        <sz val="11"/>
        <color theme="1"/>
        <rFont val="游ゴシック"/>
        <family val="2"/>
        <charset val="128"/>
      </rPr>
      <t>2026</t>
    </r>
    <r>
      <rPr>
        <b/>
        <sz val="11"/>
        <color theme="1"/>
        <rFont val="Noto Sans CJK SC"/>
        <family val="2"/>
      </rPr>
      <t>年</t>
    </r>
    <r>
      <rPr>
        <b/>
        <sz val="11"/>
        <color theme="1"/>
        <rFont val="游ゴシック"/>
        <family val="2"/>
        <charset val="128"/>
      </rPr>
      <t>5</t>
    </r>
    <r>
      <rPr>
        <b/>
        <sz val="11"/>
        <color theme="1"/>
        <rFont val="Noto Sans CJK SC"/>
        <family val="2"/>
      </rPr>
      <t>月</t>
    </r>
    <r>
      <rPr>
        <b/>
        <sz val="11"/>
        <color theme="1"/>
        <rFont val="游ゴシック"/>
        <family val="2"/>
        <charset val="128"/>
      </rPr>
      <t>15</t>
    </r>
    <r>
      <rPr>
        <b/>
        <sz val="11"/>
        <color theme="1"/>
        <rFont val="Noto Sans CJK SC"/>
        <family val="2"/>
      </rPr>
      <t>日</t>
    </r>
  </si>
  <si>
    <t>対象ファイル</t>
  </si>
  <si>
    <t>②交付要望書パワポ_ver13_沖提案追記.pptx / 申請書Excel</t>
  </si>
  <si>
    <t>カテゴリ</t>
  </si>
  <si>
    <t>対象シート／箇所</t>
  </si>
  <si>
    <t>作業内容</t>
  </si>
  <si>
    <t>結果・確定値</t>
  </si>
  <si>
    <t>教員情札記入</t>
  </si>
  <si>
    <t>高野良和（准教授）・ヤーッコ・サーリ（特任准教授）・古岩祥幸（非常勤講師）のB列へ実記入</t>
  </si>
  <si>
    <r>
      <rPr>
        <sz val="11"/>
        <color theme="1"/>
        <rFont val="游ゴシック"/>
        <family val="2"/>
        <charset val="128"/>
      </rPr>
      <t>B22=</t>
    </r>
    <r>
      <rPr>
        <sz val="11"/>
        <color theme="1"/>
        <rFont val="Noto Sans CJK SC"/>
        <family val="2"/>
      </rPr>
      <t>高野良和（准教授・</t>
    </r>
    <r>
      <rPr>
        <sz val="11"/>
        <color theme="1"/>
        <rFont val="游ゴシック"/>
        <family val="2"/>
        <charset val="128"/>
      </rPr>
      <t>GROUNDRIDDIM</t>
    </r>
    <r>
      <rPr>
        <sz val="11"/>
        <color theme="1"/>
        <rFont val="Noto Sans CJK SC"/>
        <family val="2"/>
      </rPr>
      <t xml:space="preserve">）
</t>
    </r>
    <r>
      <rPr>
        <sz val="11"/>
        <color theme="1"/>
        <rFont val="游ゴシック"/>
        <family val="2"/>
        <charset val="128"/>
      </rPr>
      <t>B23=</t>
    </r>
    <r>
      <rPr>
        <sz val="11"/>
        <color theme="1"/>
        <rFont val="Noto Sans CJK SC"/>
        <family val="2"/>
      </rPr>
      <t>ヤーッコ・サーリ（特任准教授・</t>
    </r>
    <r>
      <rPr>
        <sz val="11"/>
        <color theme="1"/>
        <rFont val="游ゴシック"/>
        <family val="2"/>
        <charset val="128"/>
      </rPr>
      <t>VP/UE5</t>
    </r>
    <r>
      <rPr>
        <sz val="11"/>
        <color theme="1"/>
        <rFont val="Noto Sans CJK SC"/>
        <family val="2"/>
      </rPr>
      <t>・</t>
    </r>
    <r>
      <rPr>
        <sz val="11"/>
        <color theme="1"/>
        <rFont val="游ゴシック"/>
        <family val="2"/>
        <charset val="128"/>
      </rPr>
      <t>ASIAGRAPH2021</t>
    </r>
    <r>
      <rPr>
        <sz val="11"/>
        <color theme="1"/>
        <rFont val="Noto Sans CJK SC"/>
        <family val="2"/>
      </rPr>
      <t xml:space="preserve">受賞）
</t>
    </r>
    <r>
      <rPr>
        <sz val="11"/>
        <color theme="1"/>
        <rFont val="游ゴシック"/>
        <family val="2"/>
        <charset val="128"/>
      </rPr>
      <t>B24=</t>
    </r>
    <r>
      <rPr>
        <sz val="11"/>
        <color theme="1"/>
        <rFont val="Noto Sans CJK SC"/>
        <family val="2"/>
      </rPr>
      <t>古岩祥幸（非常勤・</t>
    </r>
    <r>
      <rPr>
        <sz val="11"/>
        <color theme="1"/>
        <rFont val="游ゴシック"/>
        <family val="2"/>
        <charset val="128"/>
      </rPr>
      <t>3DCG</t>
    </r>
    <r>
      <rPr>
        <sz val="11"/>
        <color theme="1"/>
        <rFont val="Noto Sans CJK SC"/>
        <family val="2"/>
      </rPr>
      <t>・</t>
    </r>
    <r>
      <rPr>
        <sz val="11"/>
        <color theme="1"/>
        <rFont val="游ゴシック"/>
        <family val="2"/>
        <charset val="128"/>
      </rPr>
      <t>PPI</t>
    </r>
    <r>
      <rPr>
        <sz val="11"/>
        <color theme="1"/>
        <rFont val="Noto Sans CJK SC"/>
        <family val="2"/>
      </rPr>
      <t>出身）</t>
    </r>
  </si>
  <si>
    <t>課顧記入（4名）</t>
  </si>
  <si>
    <t>課顧欄（D22～D25）</t>
  </si>
  <si>
    <t>高野/ヤーッコ/古岩 各500千円、クリス追加250千円を全３年分に記入</t>
  </si>
  <si>
    <t>課顧小計 3,420千円/年（旧１，670から+1,750）</t>
  </si>
  <si>
    <t>文言修正（10件）</t>
  </si>
  <si>
    <t>全体計画・プロジェクト詳細・成果目標</t>
  </si>
  <si>
    <t>大学降4ラボ削除・５職種→５分野・統括人材削除・PC250台削除</t>
  </si>
  <si>
    <t>全体計画B4/B14/B20、プロジェクト詳細B5/B13、成果目標E14/E24</t>
  </si>
  <si>
    <t>軽都算顕書整備</t>
  </si>
  <si>
    <t>全３年分全費目</t>
  </si>
  <si>
    <t>全３年分費目の追加・修正を実施。収支予算書との金額照合完了</t>
  </si>
  <si>
    <t>小計（税込）151,107千円
消費税控除後 144,645千円</t>
  </si>
  <si>
    <t>追加費目</t>
  </si>
  <si>
    <t>講期料（全３年）</t>
  </si>
  <si>
    <t>課顧以外に追加：消耗品450/会議費1,130/雑役務費2,470/保陶80各年</t>
  </si>
  <si>
    <r>
      <rPr>
        <sz val="11"/>
        <color theme="1"/>
        <rFont val="游ゴシック"/>
        <family val="2"/>
        <charset val="128"/>
      </rPr>
      <t>SIGGRAPHx2</t>
    </r>
    <r>
      <rPr>
        <sz val="11"/>
        <color theme="1"/>
        <rFont val="Noto Sans CJK SC"/>
        <family val="2"/>
      </rPr>
      <t>名：</t>
    </r>
    <r>
      <rPr>
        <sz val="11"/>
        <color theme="1"/>
        <rFont val="游ゴシック"/>
        <family val="2"/>
        <charset val="128"/>
      </rPr>
      <t>600</t>
    </r>
    <r>
      <rPr>
        <sz val="11"/>
        <color theme="1"/>
        <rFont val="Noto Sans CJK SC"/>
        <family val="2"/>
      </rPr>
      <t>千円</t>
    </r>
    <r>
      <rPr>
        <sz val="11"/>
        <color theme="1"/>
        <rFont val="游ゴシック"/>
        <family val="2"/>
        <charset val="128"/>
      </rPr>
      <t>/</t>
    </r>
    <r>
      <rPr>
        <sz val="11"/>
        <color theme="1"/>
        <rFont val="Noto Sans CJK SC"/>
        <family val="2"/>
      </rPr>
      <t>名（</t>
    </r>
    <r>
      <rPr>
        <sz val="11"/>
        <color theme="1"/>
        <rFont val="游ゴシック"/>
        <family val="2"/>
        <charset val="128"/>
      </rPr>
      <t>JAL</t>
    </r>
    <r>
      <rPr>
        <sz val="11"/>
        <color theme="1"/>
        <rFont val="Noto Sans CJK SC"/>
        <family val="2"/>
      </rPr>
      <t>エコ</t>
    </r>
    <r>
      <rPr>
        <sz val="11"/>
        <color theme="1"/>
        <rFont val="游ゴシック"/>
        <family val="2"/>
        <charset val="128"/>
      </rPr>
      <t>/4</t>
    </r>
    <r>
      <rPr>
        <sz val="11"/>
        <color theme="1"/>
        <rFont val="Noto Sans CJK SC"/>
        <family val="2"/>
      </rPr>
      <t>泊</t>
    </r>
    <r>
      <rPr>
        <sz val="11"/>
        <color theme="1"/>
        <rFont val="游ゴシック"/>
        <family val="2"/>
        <charset val="128"/>
      </rPr>
      <t>/</t>
    </r>
    <r>
      <rPr>
        <sz val="11"/>
        <color theme="1"/>
        <rFont val="Noto Sans CJK SC"/>
        <family val="2"/>
      </rPr>
      <t xml:space="preserve">参加費・日当含む）
</t>
    </r>
    <r>
      <rPr>
        <sz val="11"/>
        <color theme="1"/>
        <rFont val="游ゴシック"/>
        <family val="2"/>
        <charset val="128"/>
      </rPr>
      <t>VP</t>
    </r>
    <r>
      <rPr>
        <sz val="11"/>
        <color theme="1"/>
        <rFont val="Noto Sans CJK SC"/>
        <family val="2"/>
      </rPr>
      <t>スタジオ</t>
    </r>
    <r>
      <rPr>
        <sz val="11"/>
        <color theme="1"/>
        <rFont val="游ゴシック"/>
        <family val="2"/>
        <charset val="128"/>
      </rPr>
      <t>: 50</t>
    </r>
    <r>
      <rPr>
        <sz val="11"/>
        <color theme="1"/>
        <rFont val="Noto Sans CJK SC"/>
        <family val="2"/>
      </rPr>
      <t>千円</t>
    </r>
    <r>
      <rPr>
        <sz val="11"/>
        <color theme="1"/>
        <rFont val="游ゴシック"/>
        <family val="2"/>
        <charset val="128"/>
      </rPr>
      <t>x12</t>
    </r>
    <r>
      <rPr>
        <sz val="11"/>
        <color theme="1"/>
        <rFont val="Noto Sans CJK SC"/>
        <family val="2"/>
      </rPr>
      <t>回</t>
    </r>
    <r>
      <rPr>
        <sz val="11"/>
        <color theme="1"/>
        <rFont val="游ゴシック"/>
        <family val="2"/>
        <charset val="128"/>
      </rPr>
      <t>=600</t>
    </r>
    <r>
      <rPr>
        <sz val="11"/>
        <color theme="1"/>
        <rFont val="Noto Sans CJK SC"/>
        <family val="2"/>
      </rPr>
      <t>千円</t>
    </r>
    <r>
      <rPr>
        <sz val="11"/>
        <color theme="1"/>
        <rFont val="游ゴシック"/>
        <family val="2"/>
        <charset val="128"/>
      </rPr>
      <t>/</t>
    </r>
    <r>
      <rPr>
        <sz val="11"/>
        <color theme="1"/>
        <rFont val="Noto Sans CJK SC"/>
        <family val="2"/>
      </rPr>
      <t>年</t>
    </r>
  </si>
  <si>
    <t>スケジュール詳細</t>
  </si>
  <si>
    <t>６．スケジュール詳細</t>
  </si>
  <si>
    <t>ガントバー（背景色）で３年x４行構成を視覚化。入門/中級/上級/全体の5分野構成</t>
  </si>
  <si>
    <t>入門=山川+企業ゼミ統合行、中級=5分野、上級=VPスペシャリスト、全体=AIUリテラシー研修</t>
  </si>
  <si>
    <r>
      <rPr>
        <sz val="11"/>
        <color theme="1"/>
        <rFont val="游ゴシック"/>
        <family val="2"/>
        <charset val="128"/>
      </rPr>
      <t>PPT</t>
    </r>
    <r>
      <rPr>
        <sz val="11"/>
        <color theme="1"/>
        <rFont val="Noto Sans CJK SC"/>
        <family val="2"/>
      </rPr>
      <t>変更履歴</t>
    </r>
  </si>
  <si>
    <r>
      <rPr>
        <sz val="11"/>
        <color theme="1"/>
        <rFont val="游ゴシック"/>
        <family val="2"/>
        <charset val="128"/>
      </rPr>
      <t>PPT</t>
    </r>
    <r>
      <rPr>
        <sz val="11"/>
        <color theme="1"/>
        <rFont val="Noto Sans CJK SC"/>
        <family val="2"/>
      </rPr>
      <t>変更履歴シート</t>
    </r>
  </si>
  <si>
    <r>
      <rPr>
        <sz val="11"/>
        <color theme="1"/>
        <rFont val="游ゴシック"/>
        <family val="2"/>
        <charset val="128"/>
      </rPr>
      <t>PowerPoint</t>
    </r>
    <r>
      <rPr>
        <sz val="11"/>
        <color theme="1"/>
        <rFont val="Noto Sans CJK SC"/>
        <family val="2"/>
      </rPr>
      <t>側の変更内容（</t>
    </r>
    <r>
      <rPr>
        <sz val="11"/>
        <color theme="1"/>
        <rFont val="游ゴシック"/>
        <family val="2"/>
        <charset val="128"/>
      </rPr>
      <t>18</t>
    </r>
    <r>
      <rPr>
        <sz val="11"/>
        <color theme="1"/>
        <rFont val="Noto Sans CJK SC"/>
        <family val="2"/>
      </rPr>
      <t>件）を一覧表化</t>
    </r>
  </si>
  <si>
    <r>
      <rPr>
        <sz val="11"/>
        <color theme="1"/>
        <rFont val="游ゴシック"/>
        <family val="2"/>
        <charset val="128"/>
      </rPr>
      <t>P1</t>
    </r>
    <r>
      <rPr>
        <sz val="11"/>
        <color theme="1"/>
        <rFont val="Noto Sans CJK SC"/>
        <family val="2"/>
      </rPr>
      <t>～</t>
    </r>
    <r>
      <rPr>
        <sz val="11"/>
        <color theme="1"/>
        <rFont val="游ゴシック"/>
        <family val="2"/>
        <charset val="128"/>
      </rPr>
      <t>P5</t>
    </r>
    <r>
      <rPr>
        <sz val="11"/>
        <color theme="1"/>
        <rFont val="Noto Sans CJK SC"/>
        <family val="2"/>
      </rPr>
      <t>の全変更内容を記録済み</t>
    </r>
  </si>
  <si>
    <t>コメント一覧</t>
  </si>
  <si>
    <t>コメント一覧シート</t>
  </si>
  <si>
    <t>各シートのセルコメント修正案を一元管理</t>
  </si>
  <si>
    <t>複数シートの修正案コメントを集約記録済み</t>
  </si>
  <si>
    <t>次回確認事項</t>
  </si>
  <si>
    <t>[ ]</t>
  </si>
  <si>
    <t>諸謝金・旅費の字数根拠（偐値単価・回数）の再確認</t>
  </si>
  <si>
    <t>芸文振旅費規程でプレミアムエコノミー区分の可否確認</t>
  </si>
  <si>
    <t>ベネッセAI教育研究所との共催Formal合意（委託貿・決裁書）の有無確認</t>
  </si>
  <si>
    <t>ヤーッコ・サーリの内註e確認書類整備</t>
  </si>
  <si>
    <r>
      <rPr>
        <sz val="11"/>
        <color theme="1"/>
        <rFont val="游ゴシック"/>
        <family val="2"/>
        <charset val="128"/>
      </rPr>
      <t>PPT ver13</t>
    </r>
    <r>
      <rPr>
        <sz val="11"/>
        <color theme="1"/>
        <rFont val="Noto Sans CJK SC"/>
        <family val="2"/>
      </rPr>
      <t>への変更内容の本文反映（修正案ボックスを本文に取り込む）</t>
    </r>
  </si>
  <si>
    <r>
      <rPr>
        <sz val="11"/>
        <color theme="1"/>
        <rFont val="游ゴシック"/>
        <family val="2"/>
        <charset val="128"/>
      </rPr>
      <t>SIGGRAPH</t>
    </r>
    <r>
      <rPr>
        <sz val="11"/>
        <color theme="1"/>
        <rFont val="Noto Sans CJK SC"/>
        <family val="2"/>
      </rPr>
      <t>登録料公式金額確認（公式サイトにて）</t>
    </r>
  </si>
  <si>
    <r>
      <rPr>
        <sz val="8"/>
        <rFont val="Arial"/>
        <family val="2"/>
      </rPr>
      <t>AI</t>
    </r>
    <r>
      <rPr>
        <sz val="8"/>
        <rFont val="ＭＳ ゴシック"/>
        <family val="3"/>
        <charset val="128"/>
      </rPr>
      <t>研修</t>
    </r>
    <phoneticPr fontId="77"/>
  </si>
  <si>
    <r>
      <rPr>
        <sz val="12"/>
        <rFont val="ＭＳ ゴシック"/>
        <family val="3"/>
        <charset val="128"/>
      </rPr>
      <t>人材ニーズは公的資料および業界データの双方から裏付けられている。経産省「エンタメ・クリエイティブ産業戦略」（</t>
    </r>
    <r>
      <rPr>
        <sz val="12"/>
        <rFont val="Arial"/>
        <family val="2"/>
      </rPr>
      <t>2025</t>
    </r>
    <r>
      <rPr>
        <sz val="12"/>
        <rFont val="ＭＳ ゴシック"/>
        <family val="3"/>
        <charset val="128"/>
      </rPr>
      <t>年</t>
    </r>
    <r>
      <rPr>
        <sz val="12"/>
        <rFont val="Arial"/>
        <family val="2"/>
      </rPr>
      <t>6</t>
    </r>
    <r>
      <rPr>
        <sz val="12"/>
        <rFont val="ＭＳ ゴシック"/>
        <family val="3"/>
        <charset val="128"/>
      </rPr>
      <t>月）は海外売上</t>
    </r>
    <r>
      <rPr>
        <sz val="12"/>
        <rFont val="Arial"/>
        <family val="2"/>
      </rPr>
      <t>2033</t>
    </r>
    <r>
      <rPr>
        <sz val="12"/>
        <rFont val="ＭＳ ゴシック"/>
        <family val="3"/>
        <charset val="128"/>
      </rPr>
      <t>年</t>
    </r>
    <r>
      <rPr>
        <sz val="12"/>
        <rFont val="Arial"/>
        <family val="2"/>
      </rPr>
      <t>20</t>
    </r>
    <r>
      <rPr>
        <sz val="12"/>
        <rFont val="ＭＳ ゴシック"/>
        <family val="3"/>
        <charset val="128"/>
      </rPr>
      <t>兆円を掲げる一方「クリエイター・ビジネス人材の不足」を明示し、同省「第</t>
    </r>
    <r>
      <rPr>
        <sz val="12"/>
        <rFont val="Arial"/>
        <family val="2"/>
      </rPr>
      <t>8</t>
    </r>
    <r>
      <rPr>
        <sz val="12"/>
        <rFont val="ＭＳ ゴシック"/>
        <family val="3"/>
        <charset val="128"/>
      </rPr>
      <t>回エンタメ・クリエイティブ産業政策研究会」資料（</t>
    </r>
    <r>
      <rPr>
        <sz val="12"/>
        <rFont val="Arial"/>
        <family val="2"/>
      </rPr>
      <t>2025</t>
    </r>
    <r>
      <rPr>
        <sz val="12"/>
        <rFont val="ＭＳ ゴシック"/>
        <family val="3"/>
        <charset val="128"/>
      </rPr>
      <t>年</t>
    </r>
    <r>
      <rPr>
        <sz val="12"/>
        <rFont val="Arial"/>
        <family val="2"/>
      </rPr>
      <t>10</t>
    </r>
    <r>
      <rPr>
        <sz val="12"/>
        <rFont val="ＭＳ ゴシック"/>
        <family val="3"/>
        <charset val="128"/>
      </rPr>
      <t>月）でも、世界需要が拡大する中、アニメ・実写分野で「制作スタジオや人材の供給不足」が改めて指摘されている。業界データでも帝国データバンク「アニメ制作市場動向調査</t>
    </r>
    <r>
      <rPr>
        <sz val="12"/>
        <rFont val="Arial"/>
        <family val="2"/>
      </rPr>
      <t>2025</t>
    </r>
    <r>
      <rPr>
        <sz val="12"/>
        <rFont val="ＭＳ ゴシック"/>
        <family val="3"/>
        <charset val="128"/>
      </rPr>
      <t>」で市場</t>
    </r>
    <r>
      <rPr>
        <sz val="12"/>
        <rFont val="Arial"/>
        <family val="2"/>
      </rPr>
      <t>3,621</t>
    </r>
    <r>
      <rPr>
        <sz val="12"/>
        <rFont val="ＭＳ ゴシック"/>
        <family val="3"/>
        <charset val="128"/>
      </rPr>
      <t>億円と過去最高更新ながら元請</t>
    </r>
    <r>
      <rPr>
        <sz val="12"/>
        <rFont val="Arial"/>
        <family val="2"/>
      </rPr>
      <t>60%</t>
    </r>
    <r>
      <rPr>
        <sz val="12"/>
        <rFont val="ＭＳ ゴシック"/>
        <family val="3"/>
        <charset val="128"/>
      </rPr>
      <t>が業績悪化し「利益なき繁忙」と分析される。国内</t>
    </r>
    <r>
      <rPr>
        <sz val="12"/>
        <rFont val="Arial"/>
        <family val="2"/>
      </rPr>
      <t>VFX</t>
    </r>
    <r>
      <rPr>
        <sz val="12"/>
        <rFont val="ＭＳ ゴシック"/>
        <family val="3"/>
        <charset val="128"/>
      </rPr>
      <t>市場は</t>
    </r>
    <r>
      <rPr>
        <sz val="12"/>
        <rFont val="Arial"/>
        <family val="2"/>
      </rPr>
      <t>IMARC Group</t>
    </r>
    <r>
      <rPr>
        <sz val="12"/>
        <rFont val="ＭＳ ゴシック"/>
        <family val="3"/>
        <charset val="128"/>
      </rPr>
      <t>調査で年平均成長率</t>
    </r>
    <r>
      <rPr>
        <sz val="12"/>
        <rFont val="Arial"/>
        <family val="2"/>
      </rPr>
      <t>6.5%</t>
    </r>
    <r>
      <rPr>
        <sz val="12"/>
        <rFont val="ＭＳ ゴシック"/>
        <family val="3"/>
        <charset val="128"/>
      </rPr>
      <t>（</t>
    </r>
    <r>
      <rPr>
        <sz val="12"/>
        <rFont val="Arial"/>
        <family val="2"/>
      </rPr>
      <t>2025-2033</t>
    </r>
    <r>
      <rPr>
        <sz val="12"/>
        <rFont val="ＭＳ ゴシック"/>
        <family val="3"/>
        <charset val="128"/>
      </rPr>
      <t>年）と継続成長が見込まれ、</t>
    </r>
    <r>
      <rPr>
        <sz val="12"/>
        <rFont val="Arial"/>
        <family val="2"/>
      </rPr>
      <t>3DCG</t>
    </r>
    <r>
      <rPr>
        <sz val="12"/>
        <rFont val="ＭＳ ゴシック"/>
        <family val="3"/>
        <charset val="128"/>
      </rPr>
      <t>・</t>
    </r>
    <r>
      <rPr>
        <sz val="12"/>
        <rFont val="Arial"/>
        <family val="2"/>
      </rPr>
      <t>VFX</t>
    </r>
    <r>
      <rPr>
        <sz val="12"/>
        <rFont val="ＭＳ ゴシック"/>
        <family val="3"/>
        <charset val="128"/>
      </rPr>
      <t>クリエイターは慢性的な人材不足にある。本事業はこれらに応え、</t>
    </r>
    <r>
      <rPr>
        <sz val="12"/>
        <rFont val="Arial"/>
        <family val="2"/>
      </rPr>
      <t>1,080</t>
    </r>
    <r>
      <rPr>
        <sz val="12"/>
        <rFont val="ＭＳ ゴシック"/>
        <family val="3"/>
        <charset val="128"/>
      </rPr>
      <t>名を直接輩出し、</t>
    </r>
    <r>
      <rPr>
        <sz val="12"/>
        <rFont val="Arial"/>
        <family val="2"/>
      </rPr>
      <t>177</t>
    </r>
    <r>
      <rPr>
        <sz val="12"/>
        <rFont val="ＭＳ ゴシック"/>
        <family val="3"/>
        <charset val="128"/>
      </rPr>
      <t>団体への波及により人材供給基盤の拡大に寄与する。</t>
    </r>
    <phoneticPr fontId="77"/>
  </si>
  <si>
    <r>
      <rPr>
        <sz val="12"/>
        <rFont val="ＭＳ ゴシック"/>
        <family val="3"/>
        <charset val="128"/>
      </rPr>
      <t>本学（大学院</t>
    </r>
    <r>
      <rPr>
        <sz val="12"/>
        <rFont val="Arial"/>
        <family val="2"/>
      </rPr>
      <t>2004</t>
    </r>
    <r>
      <rPr>
        <sz val="12"/>
        <rFont val="ＭＳ ゴシック"/>
        <family val="3"/>
        <charset val="128"/>
      </rPr>
      <t>年・大学</t>
    </r>
    <r>
      <rPr>
        <sz val="12"/>
        <rFont val="Arial"/>
        <family val="2"/>
      </rPr>
      <t>2005</t>
    </r>
    <r>
      <rPr>
        <sz val="12"/>
        <rFont val="ＭＳ ゴシック"/>
        <family val="3"/>
        <charset val="128"/>
      </rPr>
      <t>年開学）は、運営法人デジタルハリウッド株式会社（</t>
    </r>
    <r>
      <rPr>
        <sz val="12"/>
        <rFont val="Arial"/>
        <family val="2"/>
      </rPr>
      <t>1994</t>
    </r>
    <r>
      <rPr>
        <sz val="12"/>
        <rFont val="ＭＳ ゴシック"/>
        <family val="3"/>
        <charset val="128"/>
      </rPr>
      <t>年設立）を中核とするグループ累計</t>
    </r>
    <r>
      <rPr>
        <sz val="12"/>
        <rFont val="Arial"/>
        <family val="2"/>
      </rPr>
      <t>9</t>
    </r>
    <r>
      <rPr>
        <sz val="12"/>
        <rFont val="ＭＳ ゴシック"/>
        <family val="3"/>
        <charset val="128"/>
      </rPr>
      <t>万人以上の輩出基盤を有し、修了生は各産業で活躍している。本事業ではこの基盤上に</t>
    </r>
    <r>
      <rPr>
        <sz val="12"/>
        <rFont val="Arial"/>
        <family val="2"/>
      </rPr>
      <t>5</t>
    </r>
    <r>
      <rPr>
        <sz val="12"/>
        <rFont val="ＭＳ ゴシック"/>
        <family val="3"/>
        <charset val="128"/>
      </rPr>
      <t>分野（映像・</t>
    </r>
    <r>
      <rPr>
        <sz val="12"/>
        <rFont val="Arial"/>
        <family val="2"/>
      </rPr>
      <t>VFX</t>
    </r>
    <r>
      <rPr>
        <sz val="12"/>
        <rFont val="ＭＳ ゴシック"/>
        <family val="3"/>
        <charset val="128"/>
      </rPr>
      <t>・</t>
    </r>
    <r>
      <rPr>
        <sz val="12"/>
        <rFont val="Arial"/>
        <family val="2"/>
      </rPr>
      <t>3DCG</t>
    </r>
    <r>
      <rPr>
        <sz val="12"/>
        <rFont val="ＭＳ ゴシック"/>
        <family val="3"/>
        <charset val="128"/>
      </rPr>
      <t>・アニメ・ゲーム）の企業群（累計</t>
    </r>
    <r>
      <rPr>
        <sz val="12"/>
        <rFont val="Arial"/>
        <family val="2"/>
      </rPr>
      <t>100</t>
    </r>
    <r>
      <rPr>
        <sz val="12"/>
        <rFont val="ＭＳ ゴシック"/>
        <family val="3"/>
        <charset val="128"/>
      </rPr>
      <t>社以上）と</t>
    </r>
    <r>
      <rPr>
        <sz val="12"/>
        <rFont val="Arial"/>
        <family val="2"/>
      </rPr>
      <t>OJT</t>
    </r>
    <r>
      <rPr>
        <sz val="12"/>
        <rFont val="ＭＳ ゴシック"/>
        <family val="3"/>
        <charset val="128"/>
      </rPr>
      <t>・インターンシップ・実制作指導で連携し、修了生が特定業界に閉じない選択肢を持てる構造を実現する。定着検証はベネッセ</t>
    </r>
    <r>
      <rPr>
        <sz val="12"/>
        <rFont val="Arial"/>
        <family val="2"/>
      </rPr>
      <t>AI</t>
    </r>
    <r>
      <rPr>
        <sz val="12"/>
        <rFont val="ＭＳ ゴシック"/>
        <family val="3"/>
        <charset val="128"/>
      </rPr>
      <t>教育研究所による修了生</t>
    </r>
    <r>
      <rPr>
        <sz val="12"/>
        <rFont val="Arial"/>
        <family val="2"/>
      </rPr>
      <t>3</t>
    </r>
    <r>
      <rPr>
        <sz val="12"/>
        <rFont val="ＭＳ ゴシック"/>
        <family val="3"/>
        <charset val="128"/>
      </rPr>
      <t>年継続追跡で行い、業界就業率（中級・上級修了生＝実践・高度の</t>
    </r>
    <r>
      <rPr>
        <sz val="12"/>
        <rFont val="Arial"/>
        <family val="2"/>
      </rPr>
      <t>480</t>
    </r>
    <r>
      <rPr>
        <sz val="12"/>
        <rFont val="ＭＳ ゴシック"/>
        <family val="3"/>
        <charset val="128"/>
      </rPr>
      <t>名対象）</t>
    </r>
    <r>
      <rPr>
        <sz val="12"/>
        <rFont val="Arial"/>
        <family val="2"/>
      </rPr>
      <t>70%</t>
    </r>
    <r>
      <rPr>
        <sz val="12"/>
        <rFont val="ＭＳ ゴシック"/>
        <family val="3"/>
        <charset val="128"/>
      </rPr>
      <t>以上、修了後</t>
    </r>
    <r>
      <rPr>
        <sz val="12"/>
        <rFont val="Arial"/>
        <family val="2"/>
      </rPr>
      <t>3</t>
    </r>
    <r>
      <rPr>
        <sz val="12"/>
        <rFont val="ＭＳ ゴシック"/>
        <family val="3"/>
        <charset val="128"/>
      </rPr>
      <t>年継続従事率</t>
    </r>
    <r>
      <rPr>
        <sz val="12"/>
        <rFont val="Arial"/>
        <family val="2"/>
      </rPr>
      <t>70%</t>
    </r>
    <r>
      <rPr>
        <sz val="12"/>
        <rFont val="ＭＳ ゴシック"/>
        <family val="3"/>
        <charset val="128"/>
      </rPr>
      <t>以上を目標とする。事業終了後は本事業で開発したカリキュラムを本学（大学・大学院）の正課授業として恒常的に組み込み、学費収入を財源として運営することで、継続的な育成基盤を確立する。</t>
    </r>
    <phoneticPr fontId="7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</si>
</sst>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yyyy/mm"/>
    <numFmt numFmtId="178" formatCode="#,##0;&quot;▲ &quot;#,##0"/>
    <numFmt numFmtId="179" formatCode="#,##0_ ;[Red]\-#,##0\ "/>
    <numFmt numFmtId="180" formatCode="m/d/yyyy"/>
  </numFmts>
  <fonts count="81">
    <font>
      <sz val="11"/>
      <color theme="1"/>
      <name val="游ゴシック"/>
      <family val="2"/>
      <charset val="128"/>
    </font>
    <font>
      <sz val="11"/>
      <color rgb="FF000000"/>
      <name val="ＭＳ Ｐゴシック"/>
      <family val="3"/>
      <charset val="128"/>
    </font>
    <font>
      <sz val="11"/>
      <name val="ＭＳ Ｐゴシック"/>
      <family val="3"/>
      <charset val="128"/>
    </font>
    <font>
      <sz val="11"/>
      <color theme="1"/>
      <name val="游ゴシック"/>
      <family val="3"/>
      <charset val="128"/>
    </font>
    <font>
      <sz val="11"/>
      <color theme="1"/>
      <name val="游ゴシック"/>
      <family val="2"/>
      <charset val="1"/>
    </font>
    <font>
      <sz val="11"/>
      <color theme="1"/>
      <name val="ＭＳ Ｐゴシック"/>
      <family val="3"/>
      <charset val="128"/>
    </font>
    <font>
      <sz val="12"/>
      <name val="ＭＳ Ｐゴシック"/>
      <family val="3"/>
      <charset val="128"/>
    </font>
    <font>
      <sz val="12"/>
      <color rgb="FFFF0000"/>
      <name val="ＭＳ Ｐゴシック"/>
      <family val="3"/>
      <charset val="128"/>
    </font>
    <font>
      <sz val="12"/>
      <color theme="1"/>
      <name val="ＭＳ Ｐゴシック"/>
      <family val="3"/>
      <charset val="128"/>
    </font>
    <font>
      <b/>
      <sz val="12"/>
      <color theme="1"/>
      <name val="ＭＳ Ｐゴシック"/>
      <family val="3"/>
      <charset val="128"/>
    </font>
    <font>
      <b/>
      <sz val="14"/>
      <color theme="1"/>
      <name val="Noto Sans CJK SC"/>
      <family val="2"/>
      <charset val="1"/>
    </font>
    <font>
      <b/>
      <sz val="14"/>
      <name val="Noto Sans CJK SC"/>
      <family val="2"/>
      <charset val="1"/>
    </font>
    <font>
      <b/>
      <sz val="12"/>
      <name val="ＭＳ Ｐゴシック"/>
      <family val="3"/>
      <charset val="128"/>
    </font>
    <font>
      <b/>
      <sz val="16"/>
      <name val="Noto Sans CJK SC"/>
      <family val="2"/>
      <charset val="1"/>
    </font>
    <font>
      <sz val="14"/>
      <name val="ＭＳ Ｐゴシック"/>
      <family val="3"/>
      <charset val="128"/>
    </font>
    <font>
      <sz val="12"/>
      <name val="Noto Sans CJK SC"/>
      <family val="2"/>
      <charset val="1"/>
    </font>
    <font>
      <sz val="12"/>
      <color theme="1"/>
      <name val="Noto Sans CJK SC"/>
      <family val="2"/>
      <charset val="1"/>
    </font>
    <font>
      <sz val="12"/>
      <name val="Noto Sans CJK SC"/>
      <family val="3"/>
      <charset val="128"/>
    </font>
    <font>
      <sz val="12"/>
      <name val="Noto Sans CJK SC"/>
      <family val="2"/>
    </font>
    <font>
      <sz val="10"/>
      <name val="Noto Sans CJK SC"/>
      <family val="2"/>
      <charset val="1"/>
    </font>
    <font>
      <b/>
      <sz val="12"/>
      <color rgb="FFFF0000"/>
      <name val="ＭＳ Ｐゴシック"/>
      <family val="3"/>
      <charset val="128"/>
    </font>
    <font>
      <b/>
      <sz val="12"/>
      <name val="Noto Sans CJK SC"/>
      <family val="2"/>
      <charset val="1"/>
    </font>
    <font>
      <b/>
      <sz val="12"/>
      <color rgb="FF7030A0"/>
      <name val="Noto Sans CJK SC"/>
      <family val="2"/>
      <charset val="1"/>
    </font>
    <font>
      <sz val="12"/>
      <color theme="0"/>
      <name val="Noto Sans CJK SC"/>
      <family val="2"/>
      <charset val="1"/>
    </font>
    <font>
      <b/>
      <sz val="12"/>
      <color theme="0"/>
      <name val="ＭＳ Ｐゴシック"/>
      <family val="3"/>
      <charset val="128"/>
    </font>
    <font>
      <u/>
      <sz val="11"/>
      <color theme="10"/>
      <name val="游ゴシック"/>
      <family val="2"/>
      <charset val="128"/>
    </font>
    <font>
      <sz val="12"/>
      <color rgb="FF7030A0"/>
      <name val="Noto Sans CJK SC"/>
      <family val="2"/>
      <charset val="1"/>
    </font>
    <font>
      <b/>
      <sz val="14"/>
      <name val="ＭＳ Ｐゴシック"/>
      <family val="3"/>
      <charset val="128"/>
    </font>
    <font>
      <sz val="11"/>
      <name val="游ゴシック"/>
      <family val="2"/>
      <charset val="128"/>
    </font>
    <font>
      <sz val="12"/>
      <color theme="1"/>
      <name val="游ゴシック"/>
      <family val="2"/>
      <charset val="128"/>
    </font>
    <font>
      <b/>
      <sz val="12"/>
      <color theme="1"/>
      <name val="Noto Sans CJK SC"/>
      <family val="2"/>
      <charset val="1"/>
    </font>
    <font>
      <sz val="11"/>
      <color theme="1"/>
      <name val="Noto Sans CJK SC"/>
      <family val="2"/>
      <charset val="1"/>
    </font>
    <font>
      <sz val="10"/>
      <name val="Arial"/>
      <family val="2"/>
    </font>
    <font>
      <sz val="10"/>
      <name val="Noto Sans CJK SC"/>
      <family val="2"/>
    </font>
    <font>
      <sz val="12"/>
      <name val="ＭＳ ゴシック"/>
      <family val="3"/>
      <charset val="128"/>
    </font>
    <font>
      <b/>
      <sz val="12"/>
      <name val="ＭＳ ゴシック"/>
      <family val="3"/>
      <charset val="128"/>
    </font>
    <font>
      <sz val="12"/>
      <name val="Noto Sans CJK SC"/>
      <family val="1"/>
      <charset val="128"/>
    </font>
    <font>
      <sz val="12"/>
      <color theme="0"/>
      <name val="Noto Sans CJK SC"/>
      <charset val="1"/>
    </font>
    <font>
      <sz val="8"/>
      <color rgb="FF1F2D3D"/>
      <name val="Noto Sans CJK SC"/>
      <family val="2"/>
      <charset val="1"/>
    </font>
    <font>
      <sz val="8"/>
      <name val="Noto Sans CJK SC"/>
      <family val="2"/>
      <charset val="1"/>
    </font>
    <font>
      <sz val="12"/>
      <name val="游ゴシック"/>
      <family val="2"/>
      <charset val="128"/>
    </font>
    <font>
      <sz val="12"/>
      <name val="ＭＳ Ｐゴシック"/>
      <family val="3"/>
      <charset val="1"/>
    </font>
    <font>
      <sz val="12"/>
      <color rgb="FF7030A0"/>
      <name val="ＭＳ Ｐゴシック"/>
      <family val="3"/>
      <charset val="128"/>
    </font>
    <font>
      <sz val="12"/>
      <color rgb="FF0000FF"/>
      <name val="ＭＳ Ｐゴシック"/>
      <family val="3"/>
      <charset val="128"/>
    </font>
    <font>
      <sz val="12"/>
      <color rgb="FF0000FF"/>
      <name val="游ゴシック"/>
      <family val="2"/>
      <charset val="128"/>
    </font>
    <font>
      <sz val="12"/>
      <color theme="1"/>
      <name val="ＭＳ ゴシック"/>
      <family val="3"/>
      <charset val="128"/>
    </font>
    <font>
      <sz val="12"/>
      <color theme="1"/>
      <name val="Noto Sans CJK SC"/>
      <family val="2"/>
    </font>
    <font>
      <sz val="12"/>
      <color rgb="FF0000FF"/>
      <name val="ＭＳ ゴシック"/>
      <family val="3"/>
      <charset val="128"/>
    </font>
    <font>
      <sz val="12"/>
      <color theme="1"/>
      <name val="Noto Sans CJK SC"/>
      <family val="3"/>
      <charset val="128"/>
    </font>
    <font>
      <b/>
      <sz val="11"/>
      <color theme="1"/>
      <name val="ＭＳ Ｐゴシック"/>
      <family val="3"/>
      <charset val="128"/>
    </font>
    <font>
      <b/>
      <sz val="10"/>
      <color theme="1"/>
      <name val="Noto Sans CJK SC"/>
      <family val="2"/>
      <charset val="1"/>
    </font>
    <font>
      <sz val="10"/>
      <name val="游ゴシック"/>
      <family val="2"/>
      <charset val="128"/>
    </font>
    <font>
      <sz val="10"/>
      <name val="ＭＳ Ｐゴシック"/>
      <family val="3"/>
      <charset val="128"/>
    </font>
    <font>
      <b/>
      <sz val="10"/>
      <name val="Noto Sans CJK SC"/>
      <family val="2"/>
      <charset val="1"/>
    </font>
    <font>
      <sz val="10"/>
      <color theme="1"/>
      <name val="ＭＳ Ｐゴシック"/>
      <family val="3"/>
      <charset val="128"/>
    </font>
    <font>
      <b/>
      <sz val="11"/>
      <color theme="1"/>
      <name val="Noto Sans CJK SC"/>
      <family val="2"/>
      <charset val="1"/>
    </font>
    <font>
      <b/>
      <sz val="10"/>
      <color theme="1"/>
      <name val="ＭＳ Ｐゴシック"/>
      <family val="3"/>
      <charset val="128"/>
    </font>
    <font>
      <sz val="10"/>
      <color theme="1"/>
      <name val="Noto Sans CJK SC"/>
      <family val="2"/>
      <charset val="1"/>
    </font>
    <font>
      <sz val="11"/>
      <color theme="1"/>
      <name val="ＭＳ ゴシック"/>
      <family val="3"/>
      <charset val="128"/>
    </font>
    <font>
      <sz val="10"/>
      <color theme="1"/>
      <name val="Noto Sans CJK SC"/>
      <family val="2"/>
    </font>
    <font>
      <sz val="10"/>
      <color theme="1"/>
      <name val="游ゴシック"/>
      <family val="2"/>
      <charset val="128"/>
    </font>
    <font>
      <b/>
      <sz val="11"/>
      <name val="Noto Sans CJK SC"/>
      <family val="2"/>
      <charset val="1"/>
    </font>
    <font>
      <sz val="11"/>
      <name val="Noto Sans CJK SC"/>
      <family val="2"/>
      <charset val="1"/>
    </font>
    <font>
      <b/>
      <sz val="11"/>
      <name val="ＭＳ Ｐゴシック"/>
      <family val="3"/>
      <charset val="128"/>
    </font>
    <font>
      <b/>
      <sz val="9"/>
      <name val="ＭＳ Ｐゴシック"/>
      <family val="3"/>
      <charset val="128"/>
    </font>
    <font>
      <b/>
      <sz val="10"/>
      <name val="ＭＳ Ｐゴシック"/>
      <family val="3"/>
      <charset val="128"/>
    </font>
    <font>
      <u/>
      <sz val="12"/>
      <name val="Noto Sans CJK SC"/>
      <family val="2"/>
      <charset val="1"/>
    </font>
    <font>
      <u/>
      <sz val="12"/>
      <color rgb="FFFF0000"/>
      <name val="ＭＳ Ｐゴシック"/>
      <family val="3"/>
      <charset val="128"/>
    </font>
    <font>
      <sz val="11"/>
      <color rgb="FFFF0000"/>
      <name val="Noto Sans CJK SC"/>
      <family val="2"/>
      <charset val="1"/>
    </font>
    <font>
      <sz val="9"/>
      <color theme="1"/>
      <name val="Noto Sans CJK SC"/>
      <family val="2"/>
      <charset val="1"/>
    </font>
    <font>
      <b/>
      <sz val="14"/>
      <color rgb="FFFFFFFF"/>
      <name val="Noto Sans CJK SC"/>
      <family val="2"/>
      <charset val="1"/>
    </font>
    <font>
      <sz val="11"/>
      <color theme="1"/>
      <name val="Noto Sans CJK SC"/>
      <family val="2"/>
    </font>
    <font>
      <b/>
      <sz val="11"/>
      <color theme="1"/>
      <name val="游ゴシック"/>
      <family val="2"/>
      <charset val="128"/>
    </font>
    <font>
      <sz val="11"/>
      <color rgb="FFFF6600"/>
      <name val="Noto Sans CJK SC"/>
      <family val="2"/>
      <charset val="1"/>
    </font>
    <font>
      <sz val="11"/>
      <color rgb="FF0000FF"/>
      <name val="Noto Sans CJK SC"/>
      <family val="2"/>
      <charset val="1"/>
    </font>
    <font>
      <b/>
      <sz val="11"/>
      <color theme="1"/>
      <name val="Noto Sans CJK SC"/>
      <family val="2"/>
    </font>
    <font>
      <sz val="11"/>
      <color theme="1"/>
      <name val="游ゴシック"/>
      <family val="2"/>
      <charset val="128"/>
    </font>
    <font>
      <sz val="6"/>
      <name val="游ゴシック"/>
      <family val="2"/>
      <charset val="128"/>
    </font>
    <font>
      <sz val="8"/>
      <name val="ＭＳ ゴシック"/>
      <family val="3"/>
      <charset val="128"/>
    </font>
    <font>
      <sz val="8"/>
      <name val="Arial"/>
      <family val="2"/>
    </font>
    <font>
      <sz val="12"/>
      <name val="Arial"/>
      <family val="2"/>
    </font>
  </fonts>
  <fills count="18">
    <fill>
      <patternFill patternType="none"/>
    </fill>
    <fill>
      <patternFill patternType="gray125"/>
    </fill>
    <fill>
      <patternFill patternType="solid">
        <fgColor theme="2"/>
        <bgColor rgb="FFE2EFDA"/>
      </patternFill>
    </fill>
    <fill>
      <patternFill patternType="solid">
        <fgColor rgb="FFCCFFFF"/>
        <bgColor rgb="FFE2EFDA"/>
      </patternFill>
    </fill>
    <fill>
      <patternFill patternType="solid">
        <fgColor rgb="FFFFFF00"/>
        <bgColor rgb="FFFFFF00"/>
      </patternFill>
    </fill>
    <fill>
      <patternFill patternType="solid">
        <fgColor theme="1"/>
        <bgColor rgb="FF003300"/>
      </patternFill>
    </fill>
    <fill>
      <patternFill patternType="solid">
        <fgColor theme="0"/>
        <bgColor rgb="FFF2F2F2"/>
      </patternFill>
    </fill>
    <fill>
      <patternFill patternType="solid">
        <fgColor theme="0" tint="-0.14999847407452621"/>
        <bgColor rgb="FFDBDBDB"/>
      </patternFill>
    </fill>
    <fill>
      <patternFill patternType="solid">
        <fgColor theme="6" tint="0.59959715567491678"/>
        <bgColor rgb="FFD9D9D9"/>
      </patternFill>
    </fill>
    <fill>
      <patternFill patternType="solid">
        <fgColor rgb="FFFFC000"/>
        <bgColor rgb="FFFF9900"/>
      </patternFill>
    </fill>
    <fill>
      <patternFill patternType="solid">
        <fgColor rgb="FFF2F2F2"/>
        <bgColor rgb="FFE7E6E6"/>
      </patternFill>
    </fill>
    <fill>
      <patternFill patternType="solid">
        <fgColor theme="0" tint="-0.34998626667073579"/>
        <bgColor rgb="FFAAAAAA"/>
      </patternFill>
    </fill>
    <fill>
      <patternFill patternType="solid">
        <fgColor rgb="FF1F3864"/>
        <bgColor rgb="FF2E4057"/>
      </patternFill>
    </fill>
    <fill>
      <patternFill patternType="solid">
        <fgColor rgb="FFD9E1F2"/>
        <bgColor rgb="FFDBDBDB"/>
      </patternFill>
    </fill>
    <fill>
      <patternFill patternType="solid">
        <fgColor rgb="FFFFF2CC"/>
        <bgColor rgb="FFF2F2F2"/>
      </patternFill>
    </fill>
    <fill>
      <patternFill patternType="solid">
        <fgColor rgb="FFE2EFDA"/>
        <bgColor rgb="FFE7E6E6"/>
      </patternFill>
    </fill>
    <fill>
      <patternFill patternType="solid">
        <fgColor rgb="FFBDD7EE"/>
        <bgColor rgb="FFD9D9D9"/>
      </patternFill>
    </fill>
    <fill>
      <patternFill patternType="solid">
        <fgColor rgb="FFFFE699"/>
        <bgColor rgb="FFFFF2CC"/>
      </patternFill>
    </fill>
  </fills>
  <borders count="144">
    <border>
      <left/>
      <right/>
      <top/>
      <bottom/>
      <diagonal/>
    </border>
    <border>
      <left/>
      <right/>
      <top/>
      <bottom style="thin">
        <color auto="1"/>
      </bottom>
      <diagonal/>
    </border>
    <border>
      <left/>
      <right style="thin">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style="dotted">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medium">
        <color auto="1"/>
      </top>
      <bottom style="hair">
        <color auto="1"/>
      </bottom>
      <diagonal/>
    </border>
    <border>
      <left style="thin">
        <color auto="1"/>
      </left>
      <right style="thin">
        <color auto="1"/>
      </right>
      <top style="medium">
        <color auto="1"/>
      </top>
      <bottom style="hair">
        <color theme="1"/>
      </bottom>
      <diagonal/>
    </border>
    <border>
      <left style="thin">
        <color auto="1"/>
      </left>
      <right style="medium">
        <color auto="1"/>
      </right>
      <top style="medium">
        <color auto="1"/>
      </top>
      <bottom style="hair">
        <color theme="1"/>
      </bottom>
      <diagonal/>
    </border>
    <border>
      <left style="thin">
        <color auto="1"/>
      </left>
      <right/>
      <top/>
      <bottom/>
      <diagonal/>
    </border>
    <border>
      <left style="thin">
        <color auto="1"/>
      </left>
      <right style="thin">
        <color auto="1"/>
      </right>
      <top/>
      <bottom/>
      <diagonal/>
    </border>
    <border>
      <left style="thin">
        <color auto="1"/>
      </left>
      <right style="thin">
        <color auto="1"/>
      </right>
      <top style="hair">
        <color auto="1"/>
      </top>
      <bottom/>
      <diagonal/>
    </border>
    <border>
      <left style="thin">
        <color auto="1"/>
      </left>
      <right style="medium">
        <color auto="1"/>
      </right>
      <top/>
      <bottom style="hair">
        <color theme="1"/>
      </bottom>
      <diagonal/>
    </border>
    <border>
      <left style="thin">
        <color auto="1"/>
      </left>
      <right/>
      <top/>
      <bottom style="thin">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theme="1"/>
      </top>
      <bottom style="thin">
        <color auto="1"/>
      </bottom>
      <diagonal/>
    </border>
    <border>
      <left style="medium">
        <color auto="1"/>
      </left>
      <right style="thin">
        <color auto="1"/>
      </right>
      <top style="medium">
        <color auto="1"/>
      </top>
      <bottom style="medium">
        <color auto="1"/>
      </bottom>
      <diagonal/>
    </border>
    <border>
      <left style="thin">
        <color auto="1"/>
      </left>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hair">
        <color theme="1"/>
      </top>
      <bottom style="medium">
        <color auto="1"/>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style="medium">
        <color auto="1"/>
      </left>
      <right style="thin">
        <color auto="1"/>
      </right>
      <top style="medium">
        <color auto="1"/>
      </top>
      <bottom style="hair">
        <color auto="1"/>
      </bottom>
      <diagonal/>
    </border>
    <border>
      <left style="medium">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thin">
        <color auto="1"/>
      </left>
      <right style="medium">
        <color auto="1"/>
      </right>
      <top style="thin">
        <color auto="1"/>
      </top>
      <bottom style="hair">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hair">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hair">
        <color auto="1"/>
      </right>
      <top style="thin">
        <color auto="1"/>
      </top>
      <bottom style="thin">
        <color auto="1"/>
      </bottom>
      <diagonal/>
    </border>
    <border>
      <left style="medium">
        <color auto="1"/>
      </left>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dotted">
        <color auto="1"/>
      </left>
      <right/>
      <top style="thin">
        <color auto="1"/>
      </top>
      <bottom style="thin">
        <color auto="1"/>
      </bottom>
      <diagonal/>
    </border>
    <border>
      <left style="medium">
        <color auto="1"/>
      </left>
      <right style="hair">
        <color auto="1"/>
      </right>
      <top style="thin">
        <color auto="1"/>
      </top>
      <bottom style="hair">
        <color auto="1"/>
      </bottom>
      <diagonal/>
    </border>
    <border>
      <left/>
      <right style="hair">
        <color auto="1"/>
      </right>
      <top style="thin">
        <color auto="1"/>
      </top>
      <bottom style="thin">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hair">
        <color auto="1"/>
      </right>
      <top style="thin">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right style="medium">
        <color auto="1"/>
      </right>
      <top style="thin">
        <color auto="1"/>
      </top>
      <bottom style="medium">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medium">
        <color auto="1"/>
      </bottom>
      <diagonal/>
    </border>
    <border>
      <left/>
      <right style="thin">
        <color auto="1"/>
      </right>
      <top/>
      <bottom style="medium">
        <color auto="1"/>
      </bottom>
      <diagonal/>
    </border>
    <border>
      <left style="medium">
        <color auto="1"/>
      </left>
      <right style="thin">
        <color auto="1"/>
      </right>
      <top/>
      <bottom/>
      <diagonal/>
    </border>
    <border>
      <left/>
      <right style="medium">
        <color auto="1"/>
      </right>
      <top style="medium">
        <color auto="1"/>
      </top>
      <bottom/>
      <diagonal/>
    </border>
    <border>
      <left/>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diagonal/>
    </border>
    <border>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thin">
        <color auto="1"/>
      </left>
      <right style="thin">
        <color auto="1"/>
      </right>
      <top style="medium">
        <color rgb="FF2E4057"/>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auto="1"/>
      </left>
      <right style="medium">
        <color auto="1"/>
      </right>
      <top style="hair">
        <color auto="1"/>
      </top>
      <bottom style="hair">
        <color auto="1"/>
      </bottom>
      <diagonal/>
    </border>
    <border>
      <left style="medium">
        <color auto="1"/>
      </left>
      <right/>
      <top style="medium">
        <color auto="1"/>
      </top>
      <bottom style="medium">
        <color auto="1"/>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double">
        <color auto="1"/>
      </top>
      <bottom style="double">
        <color auto="1"/>
      </bottom>
      <diagonal/>
    </border>
    <border>
      <left style="thin">
        <color auto="1"/>
      </left>
      <right style="medium">
        <color auto="1"/>
      </right>
      <top style="double">
        <color auto="1"/>
      </top>
      <bottom style="double">
        <color auto="1"/>
      </bottom>
      <diagonal/>
    </border>
    <border>
      <left style="thin">
        <color auto="1"/>
      </left>
      <right style="medium">
        <color auto="1"/>
      </right>
      <top/>
      <bottom style="double">
        <color auto="1"/>
      </bottom>
      <diagonal/>
    </border>
    <border>
      <left style="medium">
        <color auto="1"/>
      </left>
      <right style="thin">
        <color auto="1"/>
      </right>
      <top style="double">
        <color auto="1"/>
      </top>
      <bottom style="medium">
        <color auto="1"/>
      </bottom>
      <diagonal/>
    </border>
    <border>
      <left/>
      <right style="thin">
        <color auto="1"/>
      </right>
      <top style="medium">
        <color auto="1"/>
      </top>
      <bottom style="thin">
        <color auto="1"/>
      </bottom>
      <diagonal/>
    </border>
    <border>
      <left style="hair">
        <color auto="1"/>
      </left>
      <right style="hair">
        <color auto="1"/>
      </right>
      <top style="hair">
        <color auto="1"/>
      </top>
      <bottom style="hair">
        <color auto="1"/>
      </bottom>
      <diagonal/>
    </border>
    <border>
      <left/>
      <right/>
      <top style="medium">
        <color auto="1"/>
      </top>
      <bottom style="thin">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medium">
        <color auto="1"/>
      </left>
      <right style="thin">
        <color auto="1"/>
      </right>
      <top style="hair">
        <color auto="1"/>
      </top>
      <bottom style="hair">
        <color auto="1"/>
      </bottom>
      <diagonal/>
    </border>
    <border>
      <left/>
      <right/>
      <top style="hair">
        <color auto="1"/>
      </top>
      <bottom style="thin">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top style="thin">
        <color auto="1"/>
      </top>
      <bottom/>
      <diagonal/>
    </border>
    <border>
      <left/>
      <right/>
      <top style="hair">
        <color auto="1"/>
      </top>
      <bottom/>
      <diagonal/>
    </border>
    <border>
      <left style="thin">
        <color auto="1"/>
      </left>
      <right/>
      <top style="hair">
        <color auto="1"/>
      </top>
      <bottom/>
      <diagonal/>
    </border>
    <border>
      <left/>
      <right style="thin">
        <color auto="1"/>
      </right>
      <top style="hair">
        <color auto="1"/>
      </top>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style="hair">
        <color auto="1"/>
      </top>
      <bottom style="dashed">
        <color auto="1"/>
      </bottom>
      <diagonal/>
    </border>
    <border>
      <left style="thin">
        <color auto="1"/>
      </left>
      <right style="medium">
        <color auto="1"/>
      </right>
      <top style="hair">
        <color auto="1"/>
      </top>
      <bottom style="dashed">
        <color auto="1"/>
      </bottom>
      <diagonal/>
    </border>
    <border>
      <left style="thin">
        <color auto="1"/>
      </left>
      <right style="medium">
        <color auto="1"/>
      </right>
      <top style="thin">
        <color auto="1"/>
      </top>
      <bottom style="dotted">
        <color auto="1"/>
      </bottom>
      <diagonal/>
    </border>
    <border>
      <left style="thin">
        <color auto="1"/>
      </left>
      <right style="medium">
        <color auto="1"/>
      </right>
      <top style="dotted">
        <color auto="1"/>
      </top>
      <bottom style="dotted">
        <color auto="1"/>
      </bottom>
      <diagonal/>
    </border>
    <border>
      <left style="thin">
        <color auto="1"/>
      </left>
      <right style="medium">
        <color auto="1"/>
      </right>
      <top style="dotted">
        <color auto="1"/>
      </top>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double">
        <color auto="1"/>
      </bottom>
      <diagonal/>
    </border>
    <border>
      <left style="double">
        <color auto="1"/>
      </left>
      <right style="thin">
        <color auto="1"/>
      </right>
      <top style="double">
        <color auto="1"/>
      </top>
      <bottom style="double">
        <color auto="1"/>
      </bottom>
      <diagonal/>
    </border>
    <border>
      <left style="thin">
        <color auto="1"/>
      </left>
      <right/>
      <top style="double">
        <color auto="1"/>
      </top>
      <bottom style="double">
        <color auto="1"/>
      </bottom>
      <diagonal/>
    </border>
    <border>
      <left style="medium">
        <color auto="1"/>
      </left>
      <right style="thin">
        <color auto="1"/>
      </right>
      <top/>
      <bottom style="double">
        <color auto="1"/>
      </bottom>
      <diagonal/>
    </border>
    <border>
      <left style="thin">
        <color auto="1"/>
      </left>
      <right style="medium">
        <color auto="1"/>
      </right>
      <top style="double">
        <color auto="1"/>
      </top>
      <bottom style="hair">
        <color auto="1"/>
      </bottom>
      <diagonal/>
    </border>
    <border>
      <left/>
      <right style="thin">
        <color auto="1"/>
      </right>
      <top style="double">
        <color auto="1"/>
      </top>
      <bottom style="hair">
        <color auto="1"/>
      </bottom>
      <diagonal/>
    </border>
    <border>
      <left style="thin">
        <color auto="1"/>
      </left>
      <right style="thin">
        <color auto="1"/>
      </right>
      <top style="thin">
        <color auto="1"/>
      </top>
      <bottom style="double">
        <color auto="1"/>
      </bottom>
      <diagonal/>
    </border>
    <border>
      <left style="thin">
        <color auto="1"/>
      </left>
      <right/>
      <top/>
      <bottom style="double">
        <color auto="1"/>
      </bottom>
      <diagonal/>
    </border>
    <border>
      <left style="medium">
        <color auto="1"/>
      </left>
      <right style="medium">
        <color auto="1"/>
      </right>
      <top/>
      <bottom style="thin">
        <color auto="1"/>
      </bottom>
      <diagonal/>
    </border>
    <border>
      <left style="thin">
        <color auto="1"/>
      </left>
      <right style="thin">
        <color auto="1"/>
      </right>
      <top style="double">
        <color auto="1"/>
      </top>
      <bottom style="hair">
        <color auto="1"/>
      </bottom>
      <diagonal/>
    </border>
    <border>
      <left style="thin">
        <color auto="1"/>
      </left>
      <right/>
      <top style="double">
        <color auto="1"/>
      </top>
      <bottom style="hair">
        <color auto="1"/>
      </bottom>
      <diagonal/>
    </border>
    <border>
      <left/>
      <right/>
      <top style="double">
        <color auto="1"/>
      </top>
      <bottom style="hair">
        <color auto="1"/>
      </bottom>
      <diagonal/>
    </border>
    <border>
      <left style="medium">
        <color auto="1"/>
      </left>
      <right style="thin">
        <color auto="1"/>
      </right>
      <top style="double">
        <color auto="1"/>
      </top>
      <bottom style="hair">
        <color auto="1"/>
      </bottom>
      <diagonal/>
    </border>
    <border>
      <left style="medium">
        <color auto="1"/>
      </left>
      <right style="medium">
        <color auto="1"/>
      </right>
      <top style="thin">
        <color auto="1"/>
      </top>
      <bottom style="double">
        <color auto="1"/>
      </bottom>
      <diagonal/>
    </border>
    <border>
      <left style="medium">
        <color auto="1"/>
      </left>
      <right style="medium">
        <color auto="1"/>
      </right>
      <top style="double">
        <color auto="1"/>
      </top>
      <bottom style="medium">
        <color auto="1"/>
      </bottom>
      <diagonal/>
    </border>
    <border>
      <left style="thin">
        <color auto="1"/>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hair">
        <color auto="1"/>
      </bottom>
      <diagonal/>
    </border>
    <border>
      <left/>
      <right style="thin">
        <color auto="1"/>
      </right>
      <top style="dotted">
        <color auto="1"/>
      </top>
      <bottom style="hair">
        <color auto="1"/>
      </bottom>
      <diagonal/>
    </border>
    <border>
      <left style="thin">
        <color auto="1"/>
      </left>
      <right style="medium">
        <color auto="1"/>
      </right>
      <top style="dotted">
        <color auto="1"/>
      </top>
      <bottom style="hair">
        <color auto="1"/>
      </bottom>
      <diagonal/>
    </border>
    <border>
      <left/>
      <right style="thin">
        <color auto="1"/>
      </right>
      <top/>
      <bottom style="hair">
        <color auto="1"/>
      </bottom>
      <diagonal/>
    </border>
    <border>
      <left style="thin">
        <color rgb="FFA6A6A6"/>
      </left>
      <right style="thin">
        <color rgb="FFA6A6A6"/>
      </right>
      <top style="thin">
        <color rgb="FFA6A6A6"/>
      </top>
      <bottom style="thin">
        <color rgb="FFA6A6A6"/>
      </bottom>
      <diagonal/>
    </border>
    <border>
      <left style="thin">
        <color rgb="FFAAAAAA"/>
      </left>
      <right style="thin">
        <color rgb="FFAAAAAA"/>
      </right>
      <top style="thin">
        <color rgb="FFAAAAAA"/>
      </top>
      <bottom style="thin">
        <color rgb="FFAAAAAA"/>
      </bottom>
      <diagonal/>
    </border>
    <border>
      <left style="thin">
        <color auto="1"/>
      </left>
      <right style="medium">
        <color auto="1"/>
      </right>
      <top style="hair">
        <color auto="1"/>
      </top>
      <bottom style="medium">
        <color auto="1"/>
      </bottom>
      <diagonal/>
    </border>
  </borders>
  <cellStyleXfs count="43">
    <xf numFmtId="0" fontId="0" fillId="0" borderId="0">
      <alignment vertical="center"/>
    </xf>
    <xf numFmtId="9" fontId="1" fillId="0" borderId="0">
      <alignment vertical="center"/>
    </xf>
    <xf numFmtId="9" fontId="2" fillId="0" borderId="0">
      <alignment vertical="center"/>
    </xf>
    <xf numFmtId="9" fontId="2" fillId="0" borderId="0">
      <alignment vertical="center"/>
    </xf>
    <xf numFmtId="176" fontId="76" fillId="0" borderId="0">
      <alignment vertical="center"/>
    </xf>
    <xf numFmtId="176" fontId="2" fillId="0" borderId="0"/>
    <xf numFmtId="176" fontId="3" fillId="0" borderId="0">
      <alignment vertical="center"/>
    </xf>
    <xf numFmtId="176" fontId="3" fillId="0" borderId="0">
      <alignment vertical="center"/>
    </xf>
    <xf numFmtId="176" fontId="2" fillId="0" borderId="0"/>
    <xf numFmtId="176" fontId="2" fillId="0" borderId="0">
      <alignment vertical="center"/>
    </xf>
    <xf numFmtId="176" fontId="2" fillId="0" borderId="0">
      <alignment vertical="center"/>
    </xf>
    <xf numFmtId="176" fontId="76" fillId="0" borderId="0">
      <alignment vertical="center"/>
    </xf>
    <xf numFmtId="176" fontId="1" fillId="0" borderId="0">
      <alignment vertical="center"/>
    </xf>
    <xf numFmtId="176" fontId="2" fillId="0" borderId="0">
      <alignment vertical="center"/>
    </xf>
    <xf numFmtId="176"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4" fillId="0" borderId="0"/>
    <xf numFmtId="0" fontId="2"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xf numFmtId="0" fontId="3" fillId="0" borderId="0">
      <alignment vertical="center"/>
    </xf>
    <xf numFmtId="0" fontId="4" fillId="0" borderId="0"/>
    <xf numFmtId="0" fontId="2" fillId="0" borderId="0"/>
    <xf numFmtId="0" fontId="5"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2" fillId="0" borderId="0">
      <alignment vertical="center"/>
    </xf>
    <xf numFmtId="0" fontId="76" fillId="0" borderId="0">
      <alignment vertical="center"/>
    </xf>
    <xf numFmtId="0" fontId="76" fillId="0" borderId="0">
      <alignment vertical="center"/>
    </xf>
    <xf numFmtId="0" fontId="76" fillId="0" borderId="0">
      <alignment vertical="center"/>
    </xf>
    <xf numFmtId="0" fontId="76" fillId="0" borderId="0">
      <alignment vertical="center"/>
    </xf>
    <xf numFmtId="0" fontId="3" fillId="0" borderId="0">
      <alignment vertical="center"/>
    </xf>
    <xf numFmtId="0" fontId="3" fillId="0" borderId="0">
      <alignment vertical="center"/>
    </xf>
  </cellStyleXfs>
  <cellXfs count="622">
    <xf numFmtId="0" fontId="0" fillId="0" borderId="0" xfId="0">
      <alignment vertical="center"/>
    </xf>
    <xf numFmtId="0" fontId="6"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center" vertical="center"/>
    </xf>
    <xf numFmtId="0" fontId="8" fillId="0" borderId="0" xfId="0" applyFont="1" applyAlignment="1">
      <alignment vertical="center"/>
    </xf>
    <xf numFmtId="0" fontId="9" fillId="0" borderId="0" xfId="0" applyFont="1" applyAlignment="1">
      <alignment horizontal="left" vertical="center"/>
    </xf>
    <xf numFmtId="0" fontId="9" fillId="0" borderId="0" xfId="0" applyFont="1" applyAlignment="1">
      <alignment vertical="center"/>
    </xf>
    <xf numFmtId="0" fontId="12" fillId="0" borderId="0" xfId="0" applyFont="1" applyAlignment="1">
      <alignment vertical="center"/>
    </xf>
    <xf numFmtId="0" fontId="14" fillId="0" borderId="0" xfId="0" applyFont="1" applyAlignment="1">
      <alignment horizontal="center" vertical="center"/>
    </xf>
    <xf numFmtId="0" fontId="6" fillId="0" borderId="0" xfId="0" applyFont="1" applyAlignment="1" applyProtection="1">
      <alignment horizontal="center" vertical="center"/>
      <protection locked="0"/>
    </xf>
    <xf numFmtId="0" fontId="6" fillId="0" borderId="0" xfId="0" applyFont="1" applyAlignment="1" applyProtection="1">
      <alignment horizontal="right" vertical="center"/>
      <protection locked="0"/>
    </xf>
    <xf numFmtId="0" fontId="8" fillId="0" borderId="0" xfId="0" applyFont="1" applyAlignment="1" applyProtection="1">
      <alignment vertical="center"/>
      <protection locked="0"/>
    </xf>
    <xf numFmtId="0" fontId="6" fillId="0" borderId="0" xfId="0" applyFont="1" applyAlignment="1">
      <alignment horizontal="right" vertical="center"/>
    </xf>
    <xf numFmtId="0" fontId="16" fillId="0" borderId="0" xfId="0" applyFont="1" applyAlignment="1">
      <alignment vertical="center"/>
    </xf>
    <xf numFmtId="0" fontId="15" fillId="0" borderId="0" xfId="0" applyFont="1" applyAlignment="1">
      <alignment horizontal="left" vertical="center"/>
    </xf>
    <xf numFmtId="0" fontId="6" fillId="0" borderId="0" xfId="0" applyFont="1" applyAlignment="1" applyProtection="1">
      <alignment horizontal="left" vertical="center"/>
      <protection locked="0"/>
    </xf>
    <xf numFmtId="0" fontId="15" fillId="0" borderId="0" xfId="0" applyFont="1" applyAlignment="1">
      <alignment horizontal="right" vertical="center"/>
    </xf>
    <xf numFmtId="0" fontId="6" fillId="0" borderId="0" xfId="0" applyFont="1" applyAlignment="1">
      <alignment horizontal="left" wrapText="1"/>
    </xf>
    <xf numFmtId="0" fontId="12" fillId="0" borderId="0" xfId="0" applyFont="1" applyAlignment="1">
      <alignment horizontal="center" vertical="center"/>
    </xf>
    <xf numFmtId="0" fontId="6" fillId="0" borderId="5" xfId="0" applyFont="1" applyBorder="1" applyAlignment="1">
      <alignment vertical="center"/>
    </xf>
    <xf numFmtId="0" fontId="15" fillId="0" borderId="0" xfId="0" applyFont="1" applyAlignment="1">
      <alignment vertical="center"/>
    </xf>
    <xf numFmtId="0" fontId="6" fillId="0" borderId="6" xfId="0" applyFont="1" applyBorder="1" applyAlignment="1">
      <alignment vertical="center"/>
    </xf>
    <xf numFmtId="0" fontId="15" fillId="0" borderId="15" xfId="0" applyFont="1" applyBorder="1" applyAlignment="1" applyProtection="1">
      <alignment horizontal="center" vertical="center"/>
      <protection locked="0"/>
    </xf>
    <xf numFmtId="0" fontId="6" fillId="0" borderId="16" xfId="0" applyFont="1" applyBorder="1" applyAlignment="1">
      <alignment vertical="center"/>
    </xf>
    <xf numFmtId="0" fontId="6" fillId="0" borderId="17" xfId="0" applyFont="1" applyBorder="1" applyAlignment="1">
      <alignment vertical="center"/>
    </xf>
    <xf numFmtId="0" fontId="6" fillId="0" borderId="18" xfId="0" applyFont="1" applyBorder="1" applyAlignment="1">
      <alignment vertical="center"/>
    </xf>
    <xf numFmtId="0" fontId="7" fillId="0" borderId="0" xfId="0" applyFont="1" applyAlignment="1">
      <alignment horizontal="center" vertical="center"/>
    </xf>
    <xf numFmtId="0" fontId="7" fillId="0" borderId="0" xfId="0" applyFont="1" applyAlignment="1">
      <alignment vertical="center"/>
    </xf>
    <xf numFmtId="0" fontId="20" fillId="0" borderId="0" xfId="0" applyFont="1" applyAlignment="1">
      <alignment horizontal="left" vertical="center" wrapText="1"/>
    </xf>
    <xf numFmtId="0" fontId="7" fillId="0" borderId="0" xfId="0" applyFont="1" applyAlignment="1">
      <alignment horizontal="left" vertical="center" wrapText="1"/>
    </xf>
    <xf numFmtId="0" fontId="15" fillId="2" borderId="19" xfId="0" applyFont="1" applyFill="1" applyBorder="1" applyAlignment="1" applyProtection="1">
      <alignment horizontal="center" vertical="center"/>
      <protection locked="0"/>
    </xf>
    <xf numFmtId="0" fontId="12" fillId="0" borderId="0" xfId="0" applyFont="1" applyAlignment="1">
      <alignment horizontal="left" vertical="center" wrapText="1"/>
    </xf>
    <xf numFmtId="0" fontId="19" fillId="2" borderId="22" xfId="0" applyFont="1" applyFill="1" applyBorder="1" applyAlignment="1" applyProtection="1">
      <alignment horizontal="center" vertical="center"/>
      <protection locked="0"/>
    </xf>
    <xf numFmtId="0" fontId="15" fillId="2" borderId="26" xfId="0" applyFont="1" applyFill="1" applyBorder="1" applyAlignment="1" applyProtection="1">
      <alignment horizontal="center" vertical="center"/>
      <protection locked="0"/>
    </xf>
    <xf numFmtId="0" fontId="15" fillId="2" borderId="30" xfId="0" applyFont="1" applyFill="1" applyBorder="1" applyAlignment="1" applyProtection="1">
      <alignment horizontal="center" vertical="center"/>
      <protection locked="0"/>
    </xf>
    <xf numFmtId="0" fontId="21" fillId="0" borderId="0" xfId="0" applyFont="1" applyAlignment="1">
      <alignment vertical="center"/>
    </xf>
    <xf numFmtId="0" fontId="23" fillId="5" borderId="0" xfId="0" applyFont="1" applyFill="1" applyAlignment="1">
      <alignment vertical="center"/>
    </xf>
    <xf numFmtId="0" fontId="24" fillId="5" borderId="0" xfId="0" applyFont="1" applyFill="1" applyAlignment="1">
      <alignment horizontal="center" vertical="center"/>
    </xf>
    <xf numFmtId="0" fontId="24" fillId="0" borderId="0" xfId="0" applyFont="1" applyAlignment="1">
      <alignment horizontal="center" vertical="center"/>
    </xf>
    <xf numFmtId="0" fontId="6" fillId="0" borderId="0" xfId="0" applyFont="1" applyAlignment="1" applyProtection="1">
      <alignment horizontal="left" vertical="center" wrapText="1"/>
      <protection locked="0"/>
    </xf>
    <xf numFmtId="0" fontId="6" fillId="0" borderId="0" xfId="0" applyFont="1" applyAlignment="1">
      <alignment horizontal="left" vertical="center" wrapText="1"/>
    </xf>
    <xf numFmtId="0" fontId="15" fillId="0" borderId="38" xfId="0" applyFont="1" applyBorder="1" applyAlignment="1">
      <alignment horizontal="left" vertical="center" wrapText="1"/>
    </xf>
    <xf numFmtId="49" fontId="15" fillId="0" borderId="43" xfId="0" applyNumberFormat="1" applyFont="1" applyBorder="1" applyAlignment="1">
      <alignment horizontal="center" vertical="center" wrapText="1"/>
    </xf>
    <xf numFmtId="49" fontId="6" fillId="0" borderId="44" xfId="0" applyNumberFormat="1" applyFont="1" applyBorder="1" applyAlignment="1">
      <alignment horizontal="center" vertical="center" wrapText="1"/>
    </xf>
    <xf numFmtId="0" fontId="15" fillId="2" borderId="38" xfId="0" applyFont="1" applyFill="1" applyBorder="1" applyAlignment="1">
      <alignment horizontal="center" vertical="center" wrapText="1"/>
    </xf>
    <xf numFmtId="0" fontId="6" fillId="0" borderId="51" xfId="0" applyFont="1" applyBorder="1" applyAlignment="1" applyProtection="1">
      <alignment horizontal="left" vertical="center"/>
      <protection locked="0"/>
    </xf>
    <xf numFmtId="0" fontId="6" fillId="0" borderId="52" xfId="0" applyFont="1" applyBorder="1" applyAlignment="1" applyProtection="1">
      <alignment horizontal="left" vertical="center"/>
      <protection locked="0"/>
    </xf>
    <xf numFmtId="0" fontId="6" fillId="0" borderId="53" xfId="0" applyFont="1" applyBorder="1" applyAlignment="1" applyProtection="1">
      <alignment horizontal="left" vertical="center"/>
      <protection locked="0"/>
    </xf>
    <xf numFmtId="49"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6" fillId="2" borderId="49" xfId="0" applyFont="1" applyFill="1" applyBorder="1" applyAlignment="1">
      <alignment horizontal="center" vertical="center"/>
    </xf>
    <xf numFmtId="0" fontId="8" fillId="0" borderId="0" xfId="0" applyFont="1" applyAlignment="1">
      <alignment horizontal="center" vertical="center" wrapText="1"/>
    </xf>
    <xf numFmtId="0" fontId="6" fillId="0" borderId="49" xfId="0" applyFont="1" applyBorder="1" applyAlignment="1">
      <alignment horizontal="center" vertical="center" wrapText="1"/>
    </xf>
    <xf numFmtId="178" fontId="6" fillId="0" borderId="38" xfId="0" applyNumberFormat="1" applyFont="1" applyBorder="1" applyAlignment="1" applyProtection="1">
      <alignment horizontal="right" vertical="center" wrapText="1"/>
      <protection locked="0"/>
    </xf>
    <xf numFmtId="0" fontId="16" fillId="0" borderId="55" xfId="0" applyFont="1" applyBorder="1" applyAlignment="1">
      <alignment horizontal="center" vertical="center" wrapText="1"/>
    </xf>
    <xf numFmtId="0" fontId="8" fillId="0" borderId="0" xfId="0" applyFont="1" applyAlignment="1">
      <alignment vertical="center" wrapText="1"/>
    </xf>
    <xf numFmtId="0" fontId="6" fillId="0" borderId="49" xfId="0" applyFont="1" applyBorder="1" applyAlignment="1">
      <alignment horizontal="center" vertical="center"/>
    </xf>
    <xf numFmtId="178" fontId="6" fillId="0" borderId="0" xfId="0" applyNumberFormat="1" applyFont="1" applyAlignment="1" applyProtection="1">
      <alignment horizontal="center" vertical="center" wrapText="1"/>
      <protection locked="0"/>
    </xf>
    <xf numFmtId="0" fontId="6" fillId="0" borderId="58" xfId="0" applyFont="1" applyBorder="1" applyAlignment="1">
      <alignment horizontal="center" vertical="center" wrapText="1"/>
    </xf>
    <xf numFmtId="178" fontId="6" fillId="0" borderId="59" xfId="0" applyNumberFormat="1" applyFont="1" applyBorder="1" applyAlignment="1" applyProtection="1">
      <alignment horizontal="right" vertical="center" wrapText="1"/>
      <protection locked="0"/>
    </xf>
    <xf numFmtId="0" fontId="6" fillId="0" borderId="0" xfId="0" applyFont="1" applyAlignment="1">
      <alignment horizontal="left" vertical="center"/>
    </xf>
    <xf numFmtId="0" fontId="6" fillId="0" borderId="0" xfId="0" applyFont="1" applyAlignment="1">
      <alignment horizontal="left" vertical="center" indent="1"/>
    </xf>
    <xf numFmtId="0" fontId="6" fillId="0" borderId="0" xfId="0" applyFont="1" applyAlignment="1">
      <alignment horizontal="justify" vertical="center"/>
    </xf>
    <xf numFmtId="0" fontId="27" fillId="0" borderId="0" xfId="0" applyFont="1" applyAlignment="1">
      <alignment horizontal="center" vertical="center"/>
    </xf>
    <xf numFmtId="0" fontId="15" fillId="0" borderId="61" xfId="0" applyFont="1" applyBorder="1" applyAlignment="1">
      <alignment horizontal="center" vertical="center"/>
    </xf>
    <xf numFmtId="0" fontId="6" fillId="0" borderId="0" xfId="0" applyFont="1" applyAlignment="1">
      <alignment vertical="center" wrapText="1"/>
    </xf>
    <xf numFmtId="0" fontId="15" fillId="0" borderId="63" xfId="0" applyFont="1" applyBorder="1" applyAlignment="1">
      <alignment horizontal="center" vertical="center"/>
    </xf>
    <xf numFmtId="0" fontId="15" fillId="0" borderId="53" xfId="0" applyFont="1" applyBorder="1" applyAlignment="1">
      <alignment horizontal="center" vertical="center"/>
    </xf>
    <xf numFmtId="0" fontId="15" fillId="0" borderId="64" xfId="0" applyFont="1" applyBorder="1" applyAlignment="1">
      <alignment horizontal="center" vertical="center"/>
    </xf>
    <xf numFmtId="0" fontId="15" fillId="0" borderId="4" xfId="0" applyFont="1" applyBorder="1" applyAlignment="1">
      <alignment horizontal="center" vertical="center"/>
    </xf>
    <xf numFmtId="0" fontId="15" fillId="0" borderId="8" xfId="0" applyFont="1" applyBorder="1" applyAlignment="1">
      <alignment horizontal="center" vertical="center"/>
    </xf>
    <xf numFmtId="0" fontId="15" fillId="0" borderId="10" xfId="0" applyFont="1" applyBorder="1" applyAlignment="1">
      <alignment horizontal="center" vertical="center"/>
    </xf>
    <xf numFmtId="0" fontId="6" fillId="2" borderId="65" xfId="0" applyFont="1" applyFill="1" applyBorder="1" applyAlignment="1">
      <alignment horizontal="left" vertical="center" wrapText="1"/>
    </xf>
    <xf numFmtId="0" fontId="15" fillId="0" borderId="35" xfId="0" applyFont="1" applyBorder="1" applyAlignment="1">
      <alignment horizontal="center" vertical="center"/>
    </xf>
    <xf numFmtId="0" fontId="15" fillId="0" borderId="67" xfId="0" applyFont="1" applyBorder="1" applyAlignment="1">
      <alignment horizontal="center" vertical="center"/>
    </xf>
    <xf numFmtId="0" fontId="6" fillId="2" borderId="16" xfId="0" applyFont="1" applyFill="1" applyBorder="1" applyAlignment="1">
      <alignment vertical="center" wrapText="1"/>
    </xf>
    <xf numFmtId="0" fontId="6" fillId="2" borderId="5" xfId="0" applyFont="1" applyFill="1" applyBorder="1" applyAlignment="1">
      <alignment vertical="center" wrapText="1"/>
    </xf>
    <xf numFmtId="0" fontId="6" fillId="2" borderId="0" xfId="0" applyFont="1" applyFill="1" applyAlignment="1">
      <alignment vertical="center" wrapText="1"/>
    </xf>
    <xf numFmtId="0" fontId="6" fillId="2" borderId="2" xfId="0" applyFont="1" applyFill="1" applyBorder="1" applyAlignment="1">
      <alignment vertical="center" wrapText="1"/>
    </xf>
    <xf numFmtId="0" fontId="6" fillId="2" borderId="5" xfId="0" applyFont="1" applyFill="1" applyBorder="1" applyAlignment="1">
      <alignment horizontal="right" vertical="center" wrapText="1"/>
    </xf>
    <xf numFmtId="0" fontId="6" fillId="2" borderId="0" xfId="0" applyFont="1" applyFill="1" applyAlignment="1">
      <alignment horizontal="left" vertical="center" wrapText="1"/>
    </xf>
    <xf numFmtId="0" fontId="6" fillId="2" borderId="2" xfId="0" applyFont="1" applyFill="1" applyBorder="1" applyAlignment="1">
      <alignment horizontal="left" vertical="center" wrapText="1"/>
    </xf>
    <xf numFmtId="0" fontId="15" fillId="0" borderId="70" xfId="0" applyFont="1" applyBorder="1" applyAlignment="1">
      <alignment horizontal="center" vertical="center"/>
    </xf>
    <xf numFmtId="0" fontId="26" fillId="0" borderId="0" xfId="0" applyFont="1" applyAlignment="1">
      <alignment horizontal="left"/>
    </xf>
    <xf numFmtId="0" fontId="6" fillId="0" borderId="74" xfId="0" applyFont="1" applyBorder="1" applyAlignment="1">
      <alignment vertical="center"/>
    </xf>
    <xf numFmtId="0" fontId="6" fillId="0" borderId="75" xfId="0" applyFont="1" applyBorder="1" applyAlignment="1">
      <alignment horizontal="left" vertical="center"/>
    </xf>
    <xf numFmtId="0" fontId="6" fillId="0" borderId="0" xfId="0" applyFont="1" applyAlignment="1" applyProtection="1">
      <alignment horizontal="left" vertical="top" wrapText="1"/>
      <protection locked="0"/>
    </xf>
    <xf numFmtId="0" fontId="29" fillId="0" borderId="0" xfId="0" applyFont="1" applyAlignment="1">
      <alignment vertical="center" wrapText="1"/>
    </xf>
    <xf numFmtId="0" fontId="30" fillId="0" borderId="76" xfId="0" applyFont="1" applyBorder="1" applyAlignment="1">
      <alignment horizontal="center" vertical="center"/>
    </xf>
    <xf numFmtId="0" fontId="29" fillId="0" borderId="0" xfId="0" applyFont="1" applyAlignment="1">
      <alignment vertical="center"/>
    </xf>
    <xf numFmtId="0" fontId="34" fillId="0" borderId="0" xfId="0" applyFont="1" applyAlignment="1">
      <alignment vertical="center"/>
    </xf>
    <xf numFmtId="0" fontId="34" fillId="0" borderId="0" xfId="0" applyFont="1" applyAlignment="1">
      <alignment horizontal="right" vertical="center" textRotation="255"/>
    </xf>
    <xf numFmtId="0" fontId="34" fillId="0" borderId="0" xfId="0" applyFont="1" applyAlignment="1" applyProtection="1">
      <alignment vertical="top" wrapText="1"/>
      <protection locked="0"/>
    </xf>
    <xf numFmtId="0" fontId="21" fillId="7" borderId="79" xfId="0" applyFont="1" applyFill="1" applyBorder="1" applyAlignment="1">
      <alignment horizontal="left" vertical="center"/>
    </xf>
    <xf numFmtId="0" fontId="35" fillId="7" borderId="80" xfId="0" applyFont="1" applyFill="1" applyBorder="1" applyAlignment="1">
      <alignment horizontal="left" vertical="center"/>
    </xf>
    <xf numFmtId="0" fontId="29" fillId="7" borderId="80" xfId="0" applyFont="1" applyFill="1" applyBorder="1" applyAlignment="1">
      <alignment horizontal="left" vertical="center"/>
    </xf>
    <xf numFmtId="0" fontId="29" fillId="7" borderId="70" xfId="0" applyFont="1" applyFill="1" applyBorder="1" applyAlignment="1">
      <alignment horizontal="left" vertical="center"/>
    </xf>
    <xf numFmtId="0" fontId="29" fillId="7" borderId="0" xfId="0" applyFont="1" applyFill="1" applyAlignment="1">
      <alignment horizontal="left" vertical="center"/>
    </xf>
    <xf numFmtId="0" fontId="34" fillId="0" borderId="0" xfId="0" applyFont="1" applyAlignment="1" applyProtection="1">
      <alignment horizontal="left" vertical="top" wrapText="1"/>
      <protection locked="0"/>
    </xf>
    <xf numFmtId="0" fontId="34" fillId="0" borderId="0" xfId="0" applyFont="1" applyAlignment="1">
      <alignment horizontal="left" vertical="top" wrapText="1"/>
    </xf>
    <xf numFmtId="0" fontId="37" fillId="5" borderId="0" xfId="0" applyFont="1" applyFill="1" applyAlignment="1">
      <alignment vertical="center"/>
    </xf>
    <xf numFmtId="0" fontId="21" fillId="5" borderId="0" xfId="0" applyFont="1" applyFill="1" applyAlignment="1">
      <alignment vertical="center"/>
    </xf>
    <xf numFmtId="0" fontId="15" fillId="5" borderId="0" xfId="0" applyFont="1" applyFill="1" applyAlignment="1">
      <alignment vertical="center"/>
    </xf>
    <xf numFmtId="0" fontId="21" fillId="5" borderId="0" xfId="0" applyFont="1" applyFill="1" applyAlignment="1">
      <alignment horizontal="center" vertical="center"/>
    </xf>
    <xf numFmtId="0" fontId="15" fillId="0" borderId="41" xfId="0" applyFont="1" applyBorder="1" applyAlignment="1">
      <alignment horizontal="center" vertical="center"/>
    </xf>
    <xf numFmtId="0" fontId="38" fillId="7" borderId="38" xfId="0" applyFont="1" applyFill="1" applyBorder="1" applyAlignment="1">
      <alignment horizontal="left" vertical="top" wrapText="1"/>
    </xf>
    <xf numFmtId="0" fontId="39" fillId="7" borderId="38" xfId="0" applyFont="1" applyFill="1" applyBorder="1" applyAlignment="1">
      <alignment horizontal="left" vertical="top" wrapText="1"/>
    </xf>
    <xf numFmtId="0" fontId="39" fillId="6" borderId="38" xfId="0" applyFont="1" applyFill="1" applyBorder="1" applyAlignment="1">
      <alignment horizontal="left" vertical="top" wrapText="1"/>
    </xf>
    <xf numFmtId="0" fontId="39" fillId="6" borderId="38" xfId="0" applyFont="1" applyFill="1" applyBorder="1" applyAlignment="1">
      <alignment horizontal="left" vertical="center"/>
    </xf>
    <xf numFmtId="0" fontId="15" fillId="0" borderId="83" xfId="0" applyFont="1" applyBorder="1" applyAlignment="1">
      <alignment vertical="center"/>
    </xf>
    <xf numFmtId="0" fontId="39" fillId="6" borderId="83" xfId="0" applyFont="1" applyFill="1" applyBorder="1" applyAlignment="1">
      <alignment horizontal="left" vertical="center"/>
    </xf>
    <xf numFmtId="0" fontId="39" fillId="6" borderId="83" xfId="0" applyFont="1" applyFill="1" applyBorder="1" applyAlignment="1">
      <alignment vertical="center"/>
    </xf>
    <xf numFmtId="0" fontId="39" fillId="6" borderId="83" xfId="0" applyFont="1" applyFill="1" applyBorder="1" applyAlignment="1">
      <alignment vertical="center" wrapText="1"/>
    </xf>
    <xf numFmtId="0" fontId="39" fillId="6" borderId="38" xfId="0" applyFont="1" applyFill="1" applyBorder="1" applyAlignment="1">
      <alignment vertical="center"/>
    </xf>
    <xf numFmtId="0" fontId="31" fillId="0" borderId="38" xfId="0" applyFont="1" applyBorder="1" applyAlignment="1">
      <alignment vertical="center"/>
    </xf>
    <xf numFmtId="0" fontId="15" fillId="0" borderId="38" xfId="0" applyFont="1" applyBorder="1" applyAlignment="1">
      <alignment vertical="center"/>
    </xf>
    <xf numFmtId="0" fontId="39" fillId="6" borderId="38" xfId="0" applyFont="1" applyFill="1" applyBorder="1" applyAlignment="1">
      <alignment vertical="center" wrapText="1"/>
    </xf>
    <xf numFmtId="0" fontId="6" fillId="5" borderId="0" xfId="0" applyFont="1" applyFill="1" applyAlignment="1">
      <alignment vertical="center"/>
    </xf>
    <xf numFmtId="0" fontId="40" fillId="0" borderId="0" xfId="0" applyFont="1" applyAlignment="1">
      <alignment vertical="center"/>
    </xf>
    <xf numFmtId="0" fontId="15" fillId="8" borderId="3" xfId="0" applyFont="1" applyFill="1" applyBorder="1" applyAlignment="1">
      <alignment horizontal="center" vertical="center"/>
    </xf>
    <xf numFmtId="0" fontId="15" fillId="8" borderId="84" xfId="0" applyFont="1" applyFill="1" applyBorder="1" applyAlignment="1">
      <alignment horizontal="center" vertical="center"/>
    </xf>
    <xf numFmtId="0" fontId="15" fillId="8" borderId="84" xfId="0" applyFont="1" applyFill="1" applyBorder="1" applyAlignment="1">
      <alignment horizontal="center" vertical="center" wrapText="1"/>
    </xf>
    <xf numFmtId="0" fontId="15" fillId="0" borderId="7" xfId="0" applyFont="1" applyBorder="1" applyAlignment="1" applyProtection="1">
      <alignment horizontal="left" vertical="center" wrapText="1"/>
      <protection locked="0"/>
    </xf>
    <xf numFmtId="0" fontId="15" fillId="3" borderId="38" xfId="0" applyFont="1" applyFill="1" applyBorder="1" applyAlignment="1" applyProtection="1">
      <alignment horizontal="left" vertical="center" wrapText="1"/>
      <protection locked="0"/>
    </xf>
    <xf numFmtId="0" fontId="15" fillId="0" borderId="38" xfId="0" applyFont="1" applyBorder="1" applyAlignment="1" applyProtection="1">
      <alignment horizontal="left" vertical="center" wrapText="1"/>
      <protection locked="0"/>
    </xf>
    <xf numFmtId="0" fontId="17" fillId="0" borderId="38" xfId="0" applyFont="1" applyBorder="1" applyAlignment="1" applyProtection="1">
      <alignment horizontal="left" vertical="center" wrapText="1"/>
      <protection locked="0"/>
    </xf>
    <xf numFmtId="0" fontId="41" fillId="0" borderId="0" xfId="0" applyFont="1" applyAlignment="1" applyProtection="1">
      <alignment horizontal="center" vertical="center" wrapText="1"/>
      <protection locked="0"/>
    </xf>
    <xf numFmtId="0" fontId="6" fillId="0" borderId="38" xfId="0" applyFont="1" applyBorder="1" applyAlignment="1" applyProtection="1">
      <alignment horizontal="left" vertical="center" wrapText="1"/>
      <protection locked="0"/>
    </xf>
    <xf numFmtId="0" fontId="41" fillId="0" borderId="7" xfId="0" applyFont="1" applyBorder="1" applyAlignment="1" applyProtection="1">
      <alignment horizontal="left" vertical="center" wrapText="1"/>
      <protection locked="0"/>
    </xf>
    <xf numFmtId="0" fontId="41" fillId="0" borderId="13" xfId="0" applyFont="1" applyBorder="1" applyAlignment="1" applyProtection="1">
      <alignment horizontal="left" vertical="center" wrapText="1"/>
      <protection locked="0"/>
    </xf>
    <xf numFmtId="0" fontId="15" fillId="3" borderId="59" xfId="0" applyFont="1" applyFill="1" applyBorder="1" applyAlignment="1" applyProtection="1">
      <alignment horizontal="left" vertical="center" wrapText="1"/>
      <protection locked="0"/>
    </xf>
    <xf numFmtId="0" fontId="15" fillId="0" borderId="59" xfId="0" applyFont="1" applyBorder="1" applyAlignment="1" applyProtection="1">
      <alignment horizontal="left" vertical="center" wrapText="1"/>
      <protection locked="0"/>
    </xf>
    <xf numFmtId="0" fontId="42" fillId="0" borderId="0" xfId="0" applyFont="1" applyAlignment="1">
      <alignment vertical="center"/>
    </xf>
    <xf numFmtId="0" fontId="43" fillId="0" borderId="0" xfId="0" applyFont="1" applyAlignment="1">
      <alignment vertical="center"/>
    </xf>
    <xf numFmtId="0" fontId="44" fillId="0" borderId="0" xfId="0" applyFont="1" applyAlignment="1">
      <alignment horizontal="left" vertical="center"/>
    </xf>
    <xf numFmtId="0" fontId="15" fillId="2" borderId="3" xfId="0" applyFont="1" applyFill="1" applyBorder="1" applyAlignment="1">
      <alignment horizontal="center" vertical="center"/>
    </xf>
    <xf numFmtId="0" fontId="15" fillId="2" borderId="84" xfId="0" applyFont="1" applyFill="1" applyBorder="1" applyAlignment="1">
      <alignment horizontal="center" vertical="center"/>
    </xf>
    <xf numFmtId="0" fontId="26" fillId="0" borderId="0" xfId="0" applyFont="1" applyAlignment="1">
      <alignment vertical="center"/>
    </xf>
    <xf numFmtId="0" fontId="34" fillId="5" borderId="0" xfId="0" applyFont="1" applyFill="1" applyAlignment="1">
      <alignment vertical="center"/>
    </xf>
    <xf numFmtId="0" fontId="35" fillId="0" borderId="0" xfId="0" applyFont="1" applyAlignment="1">
      <alignment vertical="center"/>
    </xf>
    <xf numFmtId="0" fontId="15" fillId="0" borderId="20" xfId="0" applyFont="1" applyBorder="1" applyAlignment="1">
      <alignment horizontal="center" vertical="center"/>
    </xf>
    <xf numFmtId="0" fontId="47" fillId="0" borderId="0" xfId="0" applyFont="1" applyAlignment="1">
      <alignment horizontal="center" vertical="center" wrapText="1"/>
    </xf>
    <xf numFmtId="0" fontId="15" fillId="0" borderId="85" xfId="0" applyFont="1" applyBorder="1" applyAlignment="1">
      <alignment horizontal="center" vertical="center" wrapText="1"/>
    </xf>
    <xf numFmtId="0" fontId="34" fillId="0" borderId="0" xfId="0" applyFont="1" applyAlignment="1">
      <alignment horizontal="center" vertical="center" wrapText="1"/>
    </xf>
    <xf numFmtId="0" fontId="15" fillId="0" borderId="27" xfId="0" applyFont="1" applyBorder="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15" fillId="0" borderId="86" xfId="0" applyFont="1" applyBorder="1" applyAlignment="1">
      <alignment horizontal="center" vertical="center"/>
    </xf>
    <xf numFmtId="0" fontId="15" fillId="0" borderId="86" xfId="0" applyFont="1" applyBorder="1" applyAlignment="1">
      <alignment horizontal="center" vertical="center" wrapText="1"/>
    </xf>
    <xf numFmtId="0" fontId="49" fillId="0" borderId="0" xfId="0" applyFont="1" applyAlignment="1">
      <alignment vertical="center"/>
    </xf>
    <xf numFmtId="176" fontId="49" fillId="0" borderId="0" xfId="0" applyNumberFormat="1" applyFont="1" applyAlignment="1">
      <alignment vertical="center"/>
    </xf>
    <xf numFmtId="0" fontId="50" fillId="0" borderId="0" xfId="0" applyFont="1" applyAlignment="1">
      <alignment vertical="center"/>
    </xf>
    <xf numFmtId="0" fontId="19" fillId="0" borderId="0" xfId="0" applyFont="1" applyAlignment="1">
      <alignment vertical="center"/>
    </xf>
    <xf numFmtId="176" fontId="51" fillId="0" borderId="0" xfId="0" applyNumberFormat="1" applyFont="1" applyAlignment="1">
      <alignment horizontal="center" vertical="center"/>
    </xf>
    <xf numFmtId="176" fontId="52" fillId="0" borderId="0" xfId="0" applyNumberFormat="1" applyFont="1" applyAlignment="1">
      <alignment vertical="center"/>
    </xf>
    <xf numFmtId="0" fontId="52" fillId="0" borderId="0" xfId="0" applyFont="1" applyAlignment="1">
      <alignment horizontal="right" vertical="center"/>
    </xf>
    <xf numFmtId="0" fontId="19" fillId="0" borderId="0" xfId="0" applyFont="1" applyAlignment="1">
      <alignment horizontal="left" vertical="center"/>
    </xf>
    <xf numFmtId="0" fontId="52" fillId="0" borderId="0" xfId="0" applyFont="1" applyAlignment="1">
      <alignment vertical="center" shrinkToFit="1"/>
    </xf>
    <xf numFmtId="0" fontId="31" fillId="0" borderId="38" xfId="0" applyFont="1" applyBorder="1" applyAlignment="1">
      <alignment horizontal="right" vertical="center" shrinkToFit="1"/>
    </xf>
    <xf numFmtId="0" fontId="53" fillId="7" borderId="88" xfId="0" applyFont="1" applyFill="1" applyBorder="1" applyAlignment="1">
      <alignment horizontal="center" vertical="center" shrinkToFit="1"/>
    </xf>
    <xf numFmtId="0" fontId="53" fillId="9" borderId="61" xfId="0" applyFont="1" applyFill="1" applyBorder="1" applyAlignment="1">
      <alignment horizontal="center" vertical="center" wrapText="1" shrinkToFit="1"/>
    </xf>
    <xf numFmtId="0" fontId="31" fillId="3" borderId="38" xfId="0" applyFont="1" applyFill="1" applyBorder="1" applyAlignment="1">
      <alignment horizontal="right" vertical="center"/>
    </xf>
    <xf numFmtId="0" fontId="49" fillId="0" borderId="0" xfId="0" applyFont="1" applyAlignment="1">
      <alignment horizontal="right" vertical="center"/>
    </xf>
    <xf numFmtId="0" fontId="50" fillId="2" borderId="89" xfId="0" applyFont="1" applyFill="1" applyBorder="1" applyAlignment="1">
      <alignment horizontal="center" vertical="center"/>
    </xf>
    <xf numFmtId="0" fontId="50" fillId="2" borderId="90" xfId="0" applyFont="1" applyFill="1" applyBorder="1" applyAlignment="1">
      <alignment vertical="center"/>
    </xf>
    <xf numFmtId="176" fontId="50" fillId="2" borderId="4" xfId="0" applyNumberFormat="1" applyFont="1" applyFill="1" applyBorder="1" applyAlignment="1">
      <alignment horizontal="center" vertical="center" wrapText="1"/>
    </xf>
    <xf numFmtId="0" fontId="49" fillId="0" borderId="0" xfId="0" applyFont="1" applyAlignment="1">
      <alignment horizontal="center" vertical="center"/>
    </xf>
    <xf numFmtId="0" fontId="50" fillId="2" borderId="9" xfId="0" applyFont="1" applyFill="1" applyBorder="1" applyAlignment="1">
      <alignment horizontal="center" vertical="center"/>
    </xf>
    <xf numFmtId="0" fontId="50" fillId="2" borderId="49" xfId="0" applyFont="1" applyFill="1" applyBorder="1" applyAlignment="1">
      <alignment vertical="center"/>
    </xf>
    <xf numFmtId="176" fontId="54" fillId="3" borderId="10" xfId="0" applyNumberFormat="1" applyFont="1" applyFill="1" applyBorder="1" applyAlignment="1">
      <alignment vertical="center"/>
    </xf>
    <xf numFmtId="176" fontId="54" fillId="3" borderId="8" xfId="0" applyNumberFormat="1" applyFont="1" applyFill="1" applyBorder="1" applyAlignment="1">
      <alignment vertical="center"/>
    </xf>
    <xf numFmtId="0" fontId="50" fillId="2" borderId="49" xfId="0" applyFont="1" applyFill="1" applyBorder="1" applyAlignment="1">
      <alignment vertical="center" wrapText="1"/>
    </xf>
    <xf numFmtId="0" fontId="55" fillId="0" borderId="0" xfId="0" applyFont="1" applyAlignment="1">
      <alignment vertical="center"/>
    </xf>
    <xf numFmtId="176" fontId="54" fillId="3" borderId="12" xfId="0" applyNumberFormat="1" applyFont="1" applyFill="1" applyBorder="1" applyAlignment="1">
      <alignment vertical="center"/>
    </xf>
    <xf numFmtId="176" fontId="54" fillId="3" borderId="92" xfId="0" applyNumberFormat="1" applyFont="1" applyFill="1" applyBorder="1" applyAlignment="1">
      <alignment vertical="center"/>
    </xf>
    <xf numFmtId="176" fontId="54" fillId="3" borderId="93" xfId="0" applyNumberFormat="1" applyFont="1" applyFill="1" applyBorder="1" applyAlignment="1">
      <alignment vertical="center"/>
    </xf>
    <xf numFmtId="176" fontId="54" fillId="3" borderId="35" xfId="0" applyNumberFormat="1" applyFont="1" applyFill="1" applyBorder="1" applyAlignment="1">
      <alignment vertical="center"/>
    </xf>
    <xf numFmtId="176" fontId="56" fillId="0" borderId="0" xfId="0" applyNumberFormat="1" applyFont="1" applyAlignment="1">
      <alignment vertical="center"/>
    </xf>
    <xf numFmtId="0" fontId="55" fillId="7" borderId="29" xfId="0" applyFont="1" applyFill="1" applyBorder="1" applyAlignment="1">
      <alignment horizontal="center" vertical="center"/>
    </xf>
    <xf numFmtId="176" fontId="56" fillId="9" borderId="77" xfId="0" applyNumberFormat="1" applyFont="1" applyFill="1" applyBorder="1" applyAlignment="1">
      <alignment vertical="center"/>
    </xf>
    <xf numFmtId="0" fontId="55" fillId="7" borderId="84" xfId="0" applyFont="1" applyFill="1" applyBorder="1" applyAlignment="1">
      <alignment horizontal="center" vertical="center"/>
    </xf>
    <xf numFmtId="176" fontId="54" fillId="3" borderId="95" xfId="0" applyNumberFormat="1" applyFont="1" applyFill="1" applyBorder="1" applyAlignment="1">
      <alignment vertical="center"/>
    </xf>
    <xf numFmtId="0" fontId="5" fillId="0" borderId="0" xfId="0" applyFont="1" applyAlignment="1">
      <alignment vertical="center" shrinkToFit="1"/>
    </xf>
    <xf numFmtId="0" fontId="5" fillId="0" borderId="0" xfId="0" applyFont="1" applyAlignment="1">
      <alignment vertical="center"/>
    </xf>
    <xf numFmtId="0" fontId="5" fillId="0" borderId="0" xfId="0" applyFont="1" applyAlignment="1">
      <alignment horizontal="center" vertical="center"/>
    </xf>
    <xf numFmtId="176" fontId="49" fillId="0" borderId="0" xfId="0" applyNumberFormat="1" applyFont="1" applyAlignment="1">
      <alignment horizontal="center" vertical="center"/>
    </xf>
    <xf numFmtId="0" fontId="52" fillId="0" borderId="0" xfId="0" applyFont="1" applyAlignment="1">
      <alignment horizontal="center" vertical="center"/>
    </xf>
    <xf numFmtId="176" fontId="52" fillId="0" borderId="0" xfId="0" applyNumberFormat="1" applyFont="1" applyAlignment="1">
      <alignment horizontal="right" vertical="center"/>
    </xf>
    <xf numFmtId="0" fontId="52" fillId="3" borderId="96" xfId="0" applyFont="1" applyFill="1" applyBorder="1" applyAlignment="1">
      <alignment vertical="center"/>
    </xf>
    <xf numFmtId="176" fontId="52" fillId="0" borderId="0" xfId="0" applyNumberFormat="1" applyFont="1" applyAlignment="1">
      <alignment horizontal="center" vertical="center"/>
    </xf>
    <xf numFmtId="0" fontId="31" fillId="0" borderId="0" xfId="0" applyFont="1" applyAlignment="1">
      <alignment horizontal="right" vertical="center"/>
    </xf>
    <xf numFmtId="0" fontId="50" fillId="2" borderId="95" xfId="0" applyFont="1" applyFill="1" applyBorder="1" applyAlignment="1">
      <alignment horizontal="center" vertical="center" shrinkToFit="1"/>
    </xf>
    <xf numFmtId="176" fontId="50" fillId="2" borderId="97" xfId="0" applyNumberFormat="1" applyFont="1" applyFill="1" applyBorder="1" applyAlignment="1">
      <alignment horizontal="center" vertical="center" wrapText="1"/>
    </xf>
    <xf numFmtId="176" fontId="50" fillId="2" borderId="90" xfId="0" applyNumberFormat="1" applyFont="1" applyFill="1" applyBorder="1" applyAlignment="1">
      <alignment horizontal="center" vertical="center" wrapText="1"/>
    </xf>
    <xf numFmtId="176" fontId="50" fillId="2" borderId="3" xfId="0" applyNumberFormat="1" applyFont="1" applyFill="1" applyBorder="1" applyAlignment="1">
      <alignment horizontal="center" vertical="center" wrapText="1"/>
    </xf>
    <xf numFmtId="0" fontId="57" fillId="0" borderId="98" xfId="0" applyFont="1" applyBorder="1" applyAlignment="1">
      <alignment horizontal="left" vertical="center" shrinkToFit="1"/>
    </xf>
    <xf numFmtId="0" fontId="54" fillId="0" borderId="44" xfId="0" applyFont="1" applyBorder="1" applyAlignment="1">
      <alignment vertical="center"/>
    </xf>
    <xf numFmtId="0" fontId="57" fillId="0" borderId="44" xfId="0" applyFont="1" applyBorder="1" applyAlignment="1">
      <alignment horizontal="center" vertical="center"/>
    </xf>
    <xf numFmtId="176" fontId="54" fillId="0" borderId="43" xfId="0" applyNumberFormat="1" applyFont="1" applyBorder="1" applyAlignment="1">
      <alignment vertical="center"/>
    </xf>
    <xf numFmtId="0" fontId="57" fillId="0" borderId="45" xfId="0" applyFont="1" applyBorder="1" applyAlignment="1">
      <alignment horizontal="center" vertical="center"/>
    </xf>
    <xf numFmtId="0" fontId="54" fillId="0" borderId="43" xfId="0" applyFont="1" applyBorder="1" applyAlignment="1">
      <alignment vertical="center"/>
    </xf>
    <xf numFmtId="176" fontId="54" fillId="0" borderId="44" xfId="0" applyNumberFormat="1" applyFont="1" applyBorder="1" applyAlignment="1">
      <alignment vertical="center"/>
    </xf>
    <xf numFmtId="176" fontId="52" fillId="3" borderId="40" xfId="0" applyNumberFormat="1" applyFont="1" applyFill="1" applyBorder="1" applyAlignment="1">
      <alignment vertical="center"/>
    </xf>
    <xf numFmtId="176" fontId="54" fillId="0" borderId="42" xfId="0" applyNumberFormat="1" applyFont="1" applyBorder="1" applyAlignment="1">
      <alignment horizontal="center" vertical="center"/>
    </xf>
    <xf numFmtId="176" fontId="54" fillId="0" borderId="40" xfId="0" applyNumberFormat="1" applyFont="1" applyBorder="1" applyAlignment="1">
      <alignment horizontal="center" vertical="center"/>
    </xf>
    <xf numFmtId="0" fontId="57" fillId="0" borderId="85" xfId="0" applyFont="1" applyBorder="1" applyAlignment="1">
      <alignment horizontal="left" vertical="center" shrinkToFit="1"/>
    </xf>
    <xf numFmtId="0" fontId="54" fillId="0" borderId="99" xfId="0" applyFont="1" applyBorder="1" applyAlignment="1">
      <alignment vertical="center"/>
    </xf>
    <xf numFmtId="0" fontId="57" fillId="0" borderId="99" xfId="0" applyFont="1" applyBorder="1" applyAlignment="1">
      <alignment horizontal="center" vertical="center"/>
    </xf>
    <xf numFmtId="176" fontId="54" fillId="0" borderId="100" xfId="0" applyNumberFormat="1" applyFont="1" applyBorder="1" applyAlignment="1">
      <alignment vertical="center"/>
    </xf>
    <xf numFmtId="0" fontId="57" fillId="0" borderId="101" xfId="0" applyFont="1" applyBorder="1" applyAlignment="1">
      <alignment horizontal="center" vertical="center"/>
    </xf>
    <xf numFmtId="0" fontId="54" fillId="0" borderId="100" xfId="0" applyFont="1" applyBorder="1" applyAlignment="1">
      <alignment vertical="center"/>
    </xf>
    <xf numFmtId="176" fontId="54" fillId="0" borderId="99" xfId="0" applyNumberFormat="1" applyFont="1" applyBorder="1" applyAlignment="1">
      <alignment vertical="center"/>
    </xf>
    <xf numFmtId="176" fontId="52" fillId="3" borderId="87" xfId="0" applyNumberFormat="1" applyFont="1" applyFill="1" applyBorder="1" applyAlignment="1">
      <alignment vertical="center"/>
    </xf>
    <xf numFmtId="176" fontId="54" fillId="0" borderId="102" xfId="0" applyNumberFormat="1" applyFont="1" applyBorder="1" applyAlignment="1">
      <alignment horizontal="center" vertical="center"/>
    </xf>
    <xf numFmtId="176" fontId="54" fillId="0" borderId="87" xfId="0" applyNumberFormat="1" applyFont="1" applyBorder="1" applyAlignment="1">
      <alignment horizontal="center" vertical="center"/>
    </xf>
    <xf numFmtId="0" fontId="54" fillId="0" borderId="48" xfId="0" applyFont="1" applyBorder="1" applyAlignment="1">
      <alignment horizontal="left" vertical="center" shrinkToFit="1"/>
    </xf>
    <xf numFmtId="0" fontId="54" fillId="0" borderId="103" xfId="0" applyFont="1" applyBorder="1" applyAlignment="1">
      <alignment vertical="center"/>
    </xf>
    <xf numFmtId="0" fontId="54" fillId="0" borderId="103" xfId="0" applyFont="1" applyBorder="1" applyAlignment="1">
      <alignment horizontal="center" vertical="center"/>
    </xf>
    <xf numFmtId="0" fontId="54" fillId="0" borderId="104" xfId="0" applyFont="1" applyBorder="1" applyAlignment="1">
      <alignment vertical="center"/>
    </xf>
    <xf numFmtId="0" fontId="54" fillId="0" borderId="105" xfId="0" applyFont="1" applyBorder="1" applyAlignment="1">
      <alignment horizontal="center" vertical="center"/>
    </xf>
    <xf numFmtId="176" fontId="54" fillId="0" borderId="103" xfId="0" applyNumberFormat="1" applyFont="1" applyBorder="1" applyAlignment="1">
      <alignment vertical="center"/>
    </xf>
    <xf numFmtId="176" fontId="52" fillId="3" borderId="28" xfId="0" applyNumberFormat="1" applyFont="1" applyFill="1" applyBorder="1" applyAlignment="1">
      <alignment vertical="center"/>
    </xf>
    <xf numFmtId="176" fontId="54" fillId="0" borderId="37" xfId="0" applyNumberFormat="1" applyFont="1" applyBorder="1" applyAlignment="1">
      <alignment horizontal="center" vertical="center"/>
    </xf>
    <xf numFmtId="176" fontId="54" fillId="0" borderId="28" xfId="0" applyNumberFormat="1" applyFont="1" applyBorder="1" applyAlignment="1">
      <alignment horizontal="center" vertical="center"/>
    </xf>
    <xf numFmtId="176" fontId="54" fillId="3" borderId="106" xfId="0" applyNumberFormat="1" applyFont="1" applyFill="1" applyBorder="1" applyAlignment="1">
      <alignment vertical="center"/>
    </xf>
    <xf numFmtId="179" fontId="58" fillId="3" borderId="38" xfId="0" applyNumberFormat="1" applyFont="1" applyFill="1" applyBorder="1" applyAlignment="1">
      <alignment horizontal="right" vertical="center"/>
    </xf>
    <xf numFmtId="0" fontId="58" fillId="0" borderId="0" xfId="0" applyFont="1" applyAlignment="1">
      <alignment vertical="center"/>
    </xf>
    <xf numFmtId="0" fontId="57" fillId="0" borderId="24" xfId="0" applyFont="1" applyBorder="1" applyAlignment="1">
      <alignment horizontal="left" vertical="center" shrinkToFit="1"/>
    </xf>
    <xf numFmtId="0" fontId="54" fillId="0" borderId="107" xfId="0" applyFont="1" applyBorder="1" applyAlignment="1">
      <alignment vertical="center"/>
    </xf>
    <xf numFmtId="0" fontId="57" fillId="0" borderId="107" xfId="0" applyFont="1" applyBorder="1" applyAlignment="1">
      <alignment horizontal="center" vertical="center"/>
    </xf>
    <xf numFmtId="0" fontId="54" fillId="0" borderId="108" xfId="0" applyFont="1" applyBorder="1" applyAlignment="1">
      <alignment vertical="center"/>
    </xf>
    <xf numFmtId="0" fontId="57" fillId="0" borderId="109" xfId="0" applyFont="1" applyBorder="1" applyAlignment="1">
      <alignment horizontal="center" vertical="center"/>
    </xf>
    <xf numFmtId="176" fontId="54" fillId="0" borderId="107" xfId="0" applyNumberFormat="1" applyFont="1" applyBorder="1" applyAlignment="1">
      <alignment vertical="center"/>
    </xf>
    <xf numFmtId="176" fontId="52" fillId="3" borderId="34" xfId="0" applyNumberFormat="1" applyFont="1" applyFill="1" applyBorder="1" applyAlignment="1">
      <alignment vertical="center"/>
    </xf>
    <xf numFmtId="176" fontId="54" fillId="0" borderId="110" xfId="0" applyNumberFormat="1" applyFont="1" applyBorder="1" applyAlignment="1">
      <alignment horizontal="center" vertical="center"/>
    </xf>
    <xf numFmtId="176" fontId="54" fillId="0" borderId="111" xfId="0" applyNumberFormat="1" applyFont="1" applyBorder="1" applyAlignment="1">
      <alignment horizontal="center" vertical="center"/>
    </xf>
    <xf numFmtId="176" fontId="54" fillId="0" borderId="112" xfId="0" applyNumberFormat="1" applyFont="1" applyBorder="1" applyAlignment="1">
      <alignment horizontal="center" vertical="center"/>
    </xf>
    <xf numFmtId="176" fontId="54" fillId="0" borderId="113" xfId="0" applyNumberFormat="1" applyFont="1" applyBorder="1" applyAlignment="1">
      <alignment horizontal="center" vertical="center"/>
    </xf>
    <xf numFmtId="0" fontId="57" fillId="0" borderId="85" xfId="0" applyFont="1" applyBorder="1" applyAlignment="1">
      <alignment horizontal="left" vertical="center" wrapText="1" shrinkToFit="1"/>
    </xf>
    <xf numFmtId="176" fontId="54" fillId="3" borderId="49" xfId="0" applyNumberFormat="1" applyFont="1" applyFill="1" applyBorder="1" applyAlignment="1">
      <alignment vertical="center"/>
    </xf>
    <xf numFmtId="0" fontId="54" fillId="0" borderId="98" xfId="0" applyFont="1" applyBorder="1" applyAlignment="1">
      <alignment horizontal="left" vertical="center" shrinkToFit="1"/>
    </xf>
    <xf numFmtId="176" fontId="54" fillId="0" borderId="98" xfId="0" applyNumberFormat="1" applyFont="1" applyBorder="1" applyAlignment="1">
      <alignment vertical="center"/>
    </xf>
    <xf numFmtId="0" fontId="54" fillId="0" borderId="85" xfId="0" applyFont="1" applyBorder="1" applyAlignment="1">
      <alignment horizontal="left" vertical="center" shrinkToFit="1"/>
    </xf>
    <xf numFmtId="176" fontId="54" fillId="0" borderId="85" xfId="0" applyNumberFormat="1" applyFont="1" applyBorder="1" applyAlignment="1">
      <alignment vertical="center"/>
    </xf>
    <xf numFmtId="176" fontId="54" fillId="0" borderId="69" xfId="0" applyNumberFormat="1" applyFont="1" applyBorder="1" applyAlignment="1">
      <alignment horizontal="center" vertical="center"/>
    </xf>
    <xf numFmtId="176" fontId="54" fillId="0" borderId="34" xfId="0" applyNumberFormat="1" applyFont="1" applyBorder="1" applyAlignment="1">
      <alignment horizontal="center" vertical="center"/>
    </xf>
    <xf numFmtId="176" fontId="52" fillId="3" borderId="114" xfId="0" applyNumberFormat="1" applyFont="1" applyFill="1" applyBorder="1" applyAlignment="1">
      <alignment vertical="center"/>
    </xf>
    <xf numFmtId="176" fontId="52" fillId="3" borderId="115" xfId="0" applyNumberFormat="1" applyFont="1" applyFill="1" applyBorder="1" applyAlignment="1">
      <alignment vertical="center"/>
    </xf>
    <xf numFmtId="0" fontId="57" fillId="0" borderId="23" xfId="0" applyFont="1" applyBorder="1" applyAlignment="1">
      <alignment horizontal="left" vertical="center" shrinkToFit="1"/>
    </xf>
    <xf numFmtId="0" fontId="54" fillId="0" borderId="0" xfId="0" applyFont="1" applyAlignment="1">
      <alignment vertical="center"/>
    </xf>
    <xf numFmtId="0" fontId="57" fillId="0" borderId="0" xfId="0" applyFont="1" applyAlignment="1">
      <alignment horizontal="center" vertical="center"/>
    </xf>
    <xf numFmtId="0" fontId="54" fillId="0" borderId="22" xfId="0" applyFont="1" applyBorder="1" applyAlignment="1">
      <alignment vertical="center"/>
    </xf>
    <xf numFmtId="0" fontId="57" fillId="0" borderId="2" xfId="0" applyFont="1" applyBorder="1" applyAlignment="1">
      <alignment horizontal="center" vertical="center"/>
    </xf>
    <xf numFmtId="176" fontId="54" fillId="0" borderId="23" xfId="0" applyNumberFormat="1" applyFont="1" applyBorder="1" applyAlignment="1">
      <alignment vertical="center"/>
    </xf>
    <xf numFmtId="176" fontId="52" fillId="3" borderId="116" xfId="0" applyNumberFormat="1" applyFont="1" applyFill="1" applyBorder="1" applyAlignment="1">
      <alignment vertical="center"/>
    </xf>
    <xf numFmtId="176" fontId="54" fillId="0" borderId="0" xfId="0" applyNumberFormat="1" applyFont="1" applyAlignment="1">
      <alignment horizontal="center" vertical="center"/>
    </xf>
    <xf numFmtId="176" fontId="54" fillId="3" borderId="38" xfId="0" applyNumberFormat="1" applyFont="1" applyFill="1" applyBorder="1" applyAlignment="1">
      <alignment vertical="center"/>
    </xf>
    <xf numFmtId="176" fontId="54" fillId="3" borderId="22" xfId="0" applyNumberFormat="1" applyFont="1" applyFill="1" applyBorder="1" applyAlignment="1">
      <alignment vertical="center"/>
    </xf>
    <xf numFmtId="176" fontId="54" fillId="0" borderId="49" xfId="0" applyNumberFormat="1" applyFont="1" applyBorder="1" applyAlignment="1">
      <alignment vertical="center"/>
    </xf>
    <xf numFmtId="176" fontId="54" fillId="3" borderId="26" xfId="0" applyNumberFormat="1" applyFont="1" applyFill="1" applyBorder="1" applyAlignment="1">
      <alignment vertical="center"/>
    </xf>
    <xf numFmtId="176" fontId="54" fillId="3" borderId="40" xfId="0" applyNumberFormat="1" applyFont="1" applyFill="1" applyBorder="1" applyAlignment="1">
      <alignment vertical="center"/>
    </xf>
    <xf numFmtId="179" fontId="58" fillId="3" borderId="0" xfId="0" applyNumberFormat="1" applyFont="1" applyFill="1" applyAlignment="1">
      <alignment horizontal="right" vertical="center"/>
    </xf>
    <xf numFmtId="176" fontId="54" fillId="3" borderId="87" xfId="0" applyNumberFormat="1" applyFont="1" applyFill="1" applyBorder="1" applyAlignment="1">
      <alignment vertical="center"/>
    </xf>
    <xf numFmtId="176" fontId="54" fillId="3" borderId="28" xfId="0" applyNumberFormat="1" applyFont="1" applyFill="1" applyBorder="1" applyAlignment="1">
      <alignment horizontal="right" vertical="center"/>
    </xf>
    <xf numFmtId="176" fontId="54" fillId="3" borderId="30" xfId="0" applyNumberFormat="1" applyFont="1" applyFill="1" applyBorder="1" applyAlignment="1">
      <alignment vertical="center"/>
    </xf>
    <xf numFmtId="176" fontId="54" fillId="3" borderId="120" xfId="0" applyNumberFormat="1" applyFont="1" applyFill="1" applyBorder="1" applyAlignment="1">
      <alignment vertical="center"/>
    </xf>
    <xf numFmtId="176" fontId="52" fillId="3" borderId="122" xfId="0" applyNumberFormat="1" applyFont="1" applyFill="1" applyBorder="1" applyAlignment="1">
      <alignment vertical="center"/>
    </xf>
    <xf numFmtId="176" fontId="54" fillId="6" borderId="123" xfId="0" applyNumberFormat="1" applyFont="1" applyFill="1" applyBorder="1" applyAlignment="1">
      <alignment horizontal="center" vertical="center"/>
    </xf>
    <xf numFmtId="176" fontId="54" fillId="6" borderId="122" xfId="0" applyNumberFormat="1" applyFont="1" applyFill="1" applyBorder="1" applyAlignment="1">
      <alignment horizontal="center" vertical="center"/>
    </xf>
    <xf numFmtId="176" fontId="54" fillId="6" borderId="101" xfId="0" applyNumberFormat="1" applyFont="1" applyFill="1" applyBorder="1" applyAlignment="1">
      <alignment horizontal="center" vertical="center"/>
    </xf>
    <xf numFmtId="176" fontId="54" fillId="6" borderId="87" xfId="0" applyNumberFormat="1" applyFont="1" applyFill="1" applyBorder="1" applyAlignment="1">
      <alignment horizontal="center" vertical="center"/>
    </xf>
    <xf numFmtId="176" fontId="54" fillId="0" borderId="101" xfId="0" applyNumberFormat="1" applyFont="1" applyBorder="1" applyAlignment="1">
      <alignment vertical="center"/>
    </xf>
    <xf numFmtId="0" fontId="60" fillId="0" borderId="104" xfId="0" applyFont="1" applyBorder="1" applyAlignment="1">
      <alignment vertical="center" shrinkToFit="1"/>
    </xf>
    <xf numFmtId="176" fontId="54" fillId="0" borderId="105" xfId="0" applyNumberFormat="1" applyFont="1" applyBorder="1" applyAlignment="1">
      <alignment vertical="center"/>
    </xf>
    <xf numFmtId="176" fontId="54" fillId="6" borderId="105" xfId="0" applyNumberFormat="1" applyFont="1" applyFill="1" applyBorder="1" applyAlignment="1">
      <alignment horizontal="center" vertical="center"/>
    </xf>
    <xf numFmtId="176" fontId="54" fillId="6" borderId="28" xfId="0" applyNumberFormat="1" applyFont="1" applyFill="1" applyBorder="1" applyAlignment="1">
      <alignment horizontal="center" vertical="center"/>
    </xf>
    <xf numFmtId="176" fontId="54" fillId="3" borderId="125" xfId="0" applyNumberFormat="1" applyFont="1" applyFill="1" applyBorder="1" applyAlignment="1">
      <alignment vertical="center"/>
    </xf>
    <xf numFmtId="0" fontId="49" fillId="6" borderId="0" xfId="0" applyFont="1" applyFill="1" applyAlignment="1">
      <alignment vertical="center"/>
    </xf>
    <xf numFmtId="0" fontId="54" fillId="0" borderId="0" xfId="0" applyFont="1" applyAlignment="1">
      <alignment horizontal="right" vertical="center"/>
    </xf>
    <xf numFmtId="0" fontId="57" fillId="0" borderId="0" xfId="0" applyFont="1" applyAlignment="1">
      <alignment vertical="center"/>
    </xf>
    <xf numFmtId="0" fontId="63" fillId="0" borderId="0" xfId="0" applyFont="1" applyAlignment="1">
      <alignment vertical="center"/>
    </xf>
    <xf numFmtId="0" fontId="64" fillId="0" borderId="0" xfId="0" applyFont="1" applyAlignment="1">
      <alignment horizontal="center" vertical="center"/>
    </xf>
    <xf numFmtId="0" fontId="65" fillId="0" borderId="0" xfId="0" applyFont="1" applyAlignment="1">
      <alignment vertical="center"/>
    </xf>
    <xf numFmtId="0" fontId="63" fillId="0" borderId="0" xfId="0" applyFont="1" applyAlignment="1">
      <alignment horizontal="right" vertical="center"/>
    </xf>
    <xf numFmtId="0" fontId="2" fillId="0" borderId="0" xfId="0" applyFont="1" applyAlignment="1">
      <alignment horizontal="right" vertical="center"/>
    </xf>
    <xf numFmtId="0" fontId="53" fillId="2" borderId="89" xfId="0" applyFont="1" applyFill="1" applyBorder="1" applyAlignment="1">
      <alignment horizontal="center" vertical="center"/>
    </xf>
    <xf numFmtId="0" fontId="53" fillId="2" borderId="97" xfId="0" applyFont="1" applyFill="1" applyBorder="1" applyAlignment="1">
      <alignment horizontal="center" vertical="center" shrinkToFit="1"/>
    </xf>
    <xf numFmtId="176" fontId="53" fillId="2" borderId="97" xfId="0" applyNumberFormat="1" applyFont="1" applyFill="1" applyBorder="1" applyAlignment="1">
      <alignment horizontal="center" vertical="center" wrapText="1"/>
    </xf>
    <xf numFmtId="0" fontId="53" fillId="2" borderId="4" xfId="0" applyFont="1" applyFill="1" applyBorder="1" applyAlignment="1">
      <alignment horizontal="center" vertical="center" wrapText="1"/>
    </xf>
    <xf numFmtId="176" fontId="53" fillId="2" borderId="3" xfId="0" applyNumberFormat="1" applyFont="1" applyFill="1" applyBorder="1" applyAlignment="1">
      <alignment horizontal="center" vertical="center" wrapText="1"/>
    </xf>
    <xf numFmtId="176" fontId="53" fillId="2" borderId="4" xfId="0" applyNumberFormat="1" applyFont="1" applyFill="1" applyBorder="1" applyAlignment="1">
      <alignment horizontal="center" vertical="center" wrapText="1"/>
    </xf>
    <xf numFmtId="0" fontId="19" fillId="0" borderId="98" xfId="0" applyFont="1" applyBorder="1" applyAlignment="1">
      <alignment horizontal="left" vertical="center" shrinkToFit="1"/>
    </xf>
    <xf numFmtId="0" fontId="52" fillId="0" borderId="44" xfId="0" applyFont="1" applyBorder="1" applyAlignment="1">
      <alignment vertical="center"/>
    </xf>
    <xf numFmtId="0" fontId="19" fillId="0" borderId="44" xfId="0" applyFont="1" applyBorder="1" applyAlignment="1">
      <alignment horizontal="center" vertical="center"/>
    </xf>
    <xf numFmtId="0" fontId="52" fillId="0" borderId="43" xfId="0" applyFont="1" applyBorder="1" applyAlignment="1">
      <alignment vertical="center"/>
    </xf>
    <xf numFmtId="0" fontId="19" fillId="0" borderId="45" xfId="0" applyFont="1" applyBorder="1" applyAlignment="1">
      <alignment horizontal="center" vertical="center"/>
    </xf>
    <xf numFmtId="176" fontId="52" fillId="0" borderId="44" xfId="0" applyNumberFormat="1" applyFont="1" applyBorder="1" applyAlignment="1">
      <alignment vertical="center"/>
    </xf>
    <xf numFmtId="176" fontId="52" fillId="3" borderId="43" xfId="0" applyNumberFormat="1" applyFont="1" applyFill="1" applyBorder="1" applyAlignment="1">
      <alignment vertical="center"/>
    </xf>
    <xf numFmtId="176" fontId="52" fillId="0" borderId="42" xfId="0" applyNumberFormat="1" applyFont="1" applyBorder="1" applyAlignment="1">
      <alignment horizontal="center" vertical="center"/>
    </xf>
    <xf numFmtId="176" fontId="52" fillId="0" borderId="40" xfId="0" applyNumberFormat="1" applyFont="1" applyBorder="1" applyAlignment="1">
      <alignment horizontal="center" vertical="center"/>
    </xf>
    <xf numFmtId="0" fontId="52" fillId="0" borderId="85" xfId="0" applyFont="1" applyBorder="1" applyAlignment="1">
      <alignment horizontal="left" vertical="center" shrinkToFit="1"/>
    </xf>
    <xf numFmtId="0" fontId="52" fillId="0" borderId="99" xfId="0" applyFont="1" applyBorder="1" applyAlignment="1">
      <alignment vertical="center"/>
    </xf>
    <xf numFmtId="0" fontId="52" fillId="0" borderId="99" xfId="0" applyFont="1" applyBorder="1" applyAlignment="1">
      <alignment horizontal="center" vertical="center"/>
    </xf>
    <xf numFmtId="0" fontId="52" fillId="0" borderId="100" xfId="0" applyFont="1" applyBorder="1" applyAlignment="1">
      <alignment vertical="center"/>
    </xf>
    <xf numFmtId="0" fontId="52" fillId="0" borderId="101" xfId="0" applyFont="1" applyBorder="1" applyAlignment="1">
      <alignment horizontal="center" vertical="center"/>
    </xf>
    <xf numFmtId="176" fontId="52" fillId="0" borderId="99" xfId="0" applyNumberFormat="1" applyFont="1" applyBorder="1" applyAlignment="1">
      <alignment vertical="center"/>
    </xf>
    <xf numFmtId="176" fontId="52" fillId="3" borderId="100" xfId="0" applyNumberFormat="1" applyFont="1" applyFill="1" applyBorder="1" applyAlignment="1">
      <alignment vertical="center"/>
    </xf>
    <xf numFmtId="176" fontId="52" fillId="0" borderId="102" xfId="0" applyNumberFormat="1" applyFont="1" applyBorder="1" applyAlignment="1">
      <alignment horizontal="center" vertical="center"/>
    </xf>
    <xf numFmtId="176" fontId="52" fillId="0" borderId="87" xfId="0" applyNumberFormat="1" applyFont="1" applyBorder="1" applyAlignment="1">
      <alignment horizontal="center" vertical="center"/>
    </xf>
    <xf numFmtId="0" fontId="52" fillId="0" borderId="48" xfId="0" applyFont="1" applyBorder="1" applyAlignment="1">
      <alignment horizontal="left" vertical="center" shrinkToFit="1"/>
    </xf>
    <xf numFmtId="0" fontId="52" fillId="0" borderId="103" xfId="0" applyFont="1" applyBorder="1" applyAlignment="1">
      <alignment vertical="center"/>
    </xf>
    <xf numFmtId="0" fontId="52" fillId="0" borderId="103" xfId="0" applyFont="1" applyBorder="1" applyAlignment="1">
      <alignment horizontal="center" vertical="center"/>
    </xf>
    <xf numFmtId="0" fontId="52" fillId="0" borderId="104" xfId="0" applyFont="1" applyBorder="1" applyAlignment="1">
      <alignment vertical="center"/>
    </xf>
    <xf numFmtId="0" fontId="52" fillId="0" borderId="105" xfId="0" applyFont="1" applyBorder="1" applyAlignment="1">
      <alignment horizontal="center" vertical="center"/>
    </xf>
    <xf numFmtId="176" fontId="52" fillId="0" borderId="103" xfId="0" applyNumberFormat="1" applyFont="1" applyBorder="1" applyAlignment="1">
      <alignment vertical="center"/>
    </xf>
    <xf numFmtId="176" fontId="52" fillId="3" borderId="104" xfId="0" applyNumberFormat="1" applyFont="1" applyFill="1" applyBorder="1" applyAlignment="1">
      <alignment vertical="center"/>
    </xf>
    <xf numFmtId="176" fontId="52" fillId="0" borderId="37" xfId="0" applyNumberFormat="1" applyFont="1" applyBorder="1" applyAlignment="1">
      <alignment horizontal="center" vertical="center"/>
    </xf>
    <xf numFmtId="176" fontId="52" fillId="0" borderId="28" xfId="0" applyNumberFormat="1" applyFont="1" applyBorder="1" applyAlignment="1">
      <alignment horizontal="center" vertical="center"/>
    </xf>
    <xf numFmtId="176" fontId="52" fillId="3" borderId="106" xfId="0" applyNumberFormat="1" applyFont="1" applyFill="1" applyBorder="1" applyAlignment="1">
      <alignment vertical="center"/>
    </xf>
    <xf numFmtId="176" fontId="52" fillId="3" borderId="22" xfId="0" applyNumberFormat="1" applyFont="1" applyFill="1" applyBorder="1" applyAlignment="1">
      <alignment vertical="center"/>
    </xf>
    <xf numFmtId="176" fontId="52" fillId="3" borderId="49" xfId="0" applyNumberFormat="1" applyFont="1" applyFill="1" applyBorder="1" applyAlignment="1">
      <alignment vertical="center"/>
    </xf>
    <xf numFmtId="176" fontId="52" fillId="3" borderId="26" xfId="0" applyNumberFormat="1" applyFont="1" applyFill="1" applyBorder="1" applyAlignment="1">
      <alignment vertical="center"/>
    </xf>
    <xf numFmtId="0" fontId="19" fillId="0" borderId="85" xfId="0" applyFont="1" applyBorder="1" applyAlignment="1">
      <alignment horizontal="left" vertical="center" shrinkToFit="1"/>
    </xf>
    <xf numFmtId="0" fontId="19" fillId="0" borderId="99" xfId="0" applyFont="1" applyBorder="1" applyAlignment="1">
      <alignment horizontal="center" vertical="center"/>
    </xf>
    <xf numFmtId="0" fontId="19" fillId="0" borderId="101" xfId="0" applyFont="1" applyBorder="1" applyAlignment="1">
      <alignment horizontal="center" vertical="center"/>
    </xf>
    <xf numFmtId="176" fontId="52" fillId="0" borderId="49" xfId="0" applyNumberFormat="1" applyFont="1" applyBorder="1" applyAlignment="1">
      <alignment vertical="center"/>
    </xf>
    <xf numFmtId="0" fontId="52" fillId="0" borderId="127" xfId="0" applyFont="1" applyBorder="1" applyAlignment="1">
      <alignment vertical="center" shrinkToFit="1"/>
    </xf>
    <xf numFmtId="0" fontId="52" fillId="0" borderId="128" xfId="0" applyFont="1" applyBorder="1" applyAlignment="1">
      <alignment vertical="center"/>
    </xf>
    <xf numFmtId="0" fontId="52" fillId="0" borderId="129" xfId="0" applyFont="1" applyBorder="1" applyAlignment="1">
      <alignment horizontal="center" vertical="center"/>
    </xf>
    <xf numFmtId="0" fontId="52" fillId="0" borderId="123" xfId="0" applyFont="1" applyBorder="1" applyAlignment="1">
      <alignment horizontal="center" vertical="center"/>
    </xf>
    <xf numFmtId="176" fontId="52" fillId="0" borderId="123" xfId="0" applyNumberFormat="1" applyFont="1" applyBorder="1" applyAlignment="1">
      <alignment vertical="center"/>
    </xf>
    <xf numFmtId="176" fontId="52" fillId="3" borderId="128" xfId="0" applyNumberFormat="1" applyFont="1" applyFill="1" applyBorder="1" applyAlignment="1">
      <alignment vertical="center"/>
    </xf>
    <xf numFmtId="176" fontId="52" fillId="0" borderId="130" xfId="0" applyNumberFormat="1" applyFont="1" applyBorder="1" applyAlignment="1">
      <alignment horizontal="center" vertical="center"/>
    </xf>
    <xf numFmtId="176" fontId="52" fillId="0" borderId="122" xfId="0" applyNumberFormat="1" applyFont="1" applyBorder="1" applyAlignment="1">
      <alignment horizontal="center" vertical="center"/>
    </xf>
    <xf numFmtId="0" fontId="52" fillId="0" borderId="100" xfId="0" applyFont="1" applyBorder="1" applyAlignment="1">
      <alignment vertical="center" shrinkToFit="1"/>
    </xf>
    <xf numFmtId="176" fontId="52" fillId="0" borderId="101" xfId="0" applyNumberFormat="1" applyFont="1" applyBorder="1" applyAlignment="1">
      <alignment vertical="center"/>
    </xf>
    <xf numFmtId="0" fontId="52" fillId="0" borderId="104" xfId="0" applyFont="1" applyBorder="1" applyAlignment="1">
      <alignment vertical="center" shrinkToFit="1"/>
    </xf>
    <xf numFmtId="176" fontId="52" fillId="0" borderId="105" xfId="0" applyNumberFormat="1" applyFont="1" applyBorder="1" applyAlignment="1">
      <alignment vertical="center"/>
    </xf>
    <xf numFmtId="176" fontId="52" fillId="3" borderId="125" xfId="0" applyNumberFormat="1" applyFont="1" applyFill="1" applyBorder="1" applyAlignment="1">
      <alignment vertical="center"/>
    </xf>
    <xf numFmtId="176" fontId="52" fillId="3" borderId="30" xfId="0" applyNumberFormat="1" applyFont="1" applyFill="1" applyBorder="1" applyAlignment="1">
      <alignment vertical="center"/>
    </xf>
    <xf numFmtId="176" fontId="54" fillId="0" borderId="0" xfId="0" applyNumberFormat="1" applyFont="1" applyAlignment="1">
      <alignment vertical="center"/>
    </xf>
    <xf numFmtId="0" fontId="54" fillId="0" borderId="133" xfId="0" applyFont="1" applyBorder="1" applyAlignment="1">
      <alignment vertical="center"/>
    </xf>
    <xf numFmtId="0" fontId="57" fillId="0" borderId="134" xfId="0" applyFont="1" applyBorder="1" applyAlignment="1">
      <alignment horizontal="center" vertical="center"/>
    </xf>
    <xf numFmtId="0" fontId="54" fillId="0" borderId="135" xfId="0" applyFont="1" applyBorder="1" applyAlignment="1">
      <alignment vertical="center"/>
    </xf>
    <xf numFmtId="0" fontId="57" fillId="0" borderId="136" xfId="0" applyFont="1" applyBorder="1" applyAlignment="1">
      <alignment horizontal="center" vertical="center"/>
    </xf>
    <xf numFmtId="0" fontId="54" fillId="0" borderId="137" xfId="0" applyFont="1" applyBorder="1" applyAlignment="1">
      <alignment vertical="center"/>
    </xf>
    <xf numFmtId="0" fontId="57" fillId="0" borderId="138" xfId="0" applyFont="1" applyBorder="1" applyAlignment="1">
      <alignment horizontal="center" vertical="center"/>
    </xf>
    <xf numFmtId="176" fontId="52" fillId="3" borderId="139" xfId="0" applyNumberFormat="1" applyFont="1" applyFill="1" applyBorder="1" applyAlignment="1">
      <alignment vertical="center"/>
    </xf>
    <xf numFmtId="176" fontId="52" fillId="3" borderId="111" xfId="0" applyNumberFormat="1" applyFont="1" applyFill="1" applyBorder="1" applyAlignment="1">
      <alignment vertical="center"/>
    </xf>
    <xf numFmtId="176" fontId="54" fillId="6" borderId="140" xfId="0" applyNumberFormat="1" applyFont="1" applyFill="1" applyBorder="1" applyAlignment="1">
      <alignment horizontal="center" vertical="center"/>
    </xf>
    <xf numFmtId="176" fontId="54" fillId="6" borderId="25" xfId="0" applyNumberFormat="1" applyFont="1" applyFill="1" applyBorder="1" applyAlignment="1">
      <alignment horizontal="center" vertical="center"/>
    </xf>
    <xf numFmtId="0" fontId="60" fillId="0" borderId="100" xfId="0" applyFont="1" applyBorder="1" applyAlignment="1">
      <alignment vertical="center" shrinkToFit="1"/>
    </xf>
    <xf numFmtId="0" fontId="2" fillId="0" borderId="0" xfId="0" applyFont="1" applyAlignment="1">
      <alignment vertical="center"/>
    </xf>
    <xf numFmtId="0" fontId="2" fillId="0" borderId="0" xfId="0" applyFont="1" applyAlignment="1">
      <alignment horizontal="center" vertical="center"/>
    </xf>
    <xf numFmtId="0" fontId="6" fillId="0" borderId="0" xfId="0" applyFont="1" applyAlignment="1">
      <alignment horizontal="left" vertical="top" wrapText="1"/>
    </xf>
    <xf numFmtId="0" fontId="6" fillId="0" borderId="0" xfId="0" applyFont="1" applyAlignment="1">
      <alignment horizontal="left" vertical="top"/>
    </xf>
    <xf numFmtId="180" fontId="15" fillId="0" borderId="0" xfId="0" applyNumberFormat="1" applyFont="1" applyAlignment="1">
      <alignment horizontal="right" vertical="center"/>
    </xf>
    <xf numFmtId="0" fontId="6" fillId="0" borderId="0" xfId="0" applyFont="1" applyAlignment="1">
      <alignment vertical="top"/>
    </xf>
    <xf numFmtId="0" fontId="15" fillId="0" borderId="0" xfId="0" applyFont="1" applyAlignment="1">
      <alignment horizontal="center" vertical="center"/>
    </xf>
    <xf numFmtId="0" fontId="15" fillId="0" borderId="1" xfId="0" applyFont="1" applyBorder="1" applyAlignment="1">
      <alignment horizontal="left" vertical="center" shrinkToFit="1"/>
    </xf>
    <xf numFmtId="0" fontId="6" fillId="0" borderId="0" xfId="0" applyFont="1" applyAlignment="1">
      <alignment horizontal="left" vertical="center" shrinkToFit="1"/>
    </xf>
    <xf numFmtId="0" fontId="15" fillId="0" borderId="52" xfId="0" applyFont="1" applyBorder="1" applyAlignment="1">
      <alignment horizontal="left" vertical="center"/>
    </xf>
    <xf numFmtId="0" fontId="15" fillId="0" borderId="1" xfId="0" applyFont="1" applyBorder="1" applyAlignment="1">
      <alignment vertical="center"/>
    </xf>
    <xf numFmtId="0" fontId="66" fillId="0" borderId="0" xfId="0" applyFont="1" applyAlignment="1">
      <alignment vertical="center"/>
    </xf>
    <xf numFmtId="0" fontId="67" fillId="0" borderId="0" xfId="0" applyFont="1" applyAlignment="1">
      <alignment vertical="center"/>
    </xf>
    <xf numFmtId="0" fontId="0" fillId="0" borderId="0" xfId="0" applyFont="1" applyAlignment="1"/>
    <xf numFmtId="0" fontId="31" fillId="0" borderId="0" xfId="0" applyFont="1" applyAlignment="1">
      <alignment vertical="center"/>
    </xf>
    <xf numFmtId="0" fontId="31" fillId="6" borderId="0" xfId="0" applyFont="1" applyFill="1" applyAlignment="1">
      <alignment vertical="center"/>
    </xf>
    <xf numFmtId="0" fontId="31" fillId="0" borderId="0" xfId="0" applyFont="1" applyAlignment="1">
      <alignment vertical="center" wrapText="1"/>
    </xf>
    <xf numFmtId="176" fontId="0" fillId="0" borderId="0" xfId="0" applyNumberFormat="1" applyFont="1" applyAlignment="1">
      <alignment vertical="center"/>
    </xf>
    <xf numFmtId="49" fontId="0" fillId="0" borderId="0" xfId="0" applyNumberFormat="1" applyFont="1" applyAlignment="1">
      <alignment vertical="center"/>
    </xf>
    <xf numFmtId="0" fontId="68" fillId="0" borderId="0" xfId="0" applyFont="1" applyAlignment="1">
      <alignment vertical="center"/>
    </xf>
    <xf numFmtId="180" fontId="0" fillId="0" borderId="0" xfId="0" applyNumberFormat="1" applyFont="1" applyAlignment="1">
      <alignment horizontal="left" vertical="center"/>
    </xf>
    <xf numFmtId="0" fontId="62" fillId="0" borderId="0" xfId="0" applyFont="1" applyAlignment="1">
      <alignment vertical="center"/>
    </xf>
    <xf numFmtId="0" fontId="31" fillId="7" borderId="0" xfId="0" applyFont="1" applyFill="1" applyAlignment="1">
      <alignment vertical="center"/>
    </xf>
    <xf numFmtId="0" fontId="0" fillId="0" borderId="0" xfId="0" applyFont="1" applyAlignment="1">
      <alignment horizontal="left" vertical="center"/>
    </xf>
    <xf numFmtId="178" fontId="0" fillId="7" borderId="0" xfId="0" applyNumberFormat="1" applyFont="1" applyFill="1" applyAlignment="1">
      <alignment vertical="center"/>
    </xf>
    <xf numFmtId="0" fontId="69" fillId="4" borderId="0" xfId="0" applyFont="1" applyFill="1" applyAlignment="1">
      <alignment vertical="center" wrapText="1"/>
    </xf>
    <xf numFmtId="180" fontId="0" fillId="0" borderId="0" xfId="0" applyNumberFormat="1" applyFont="1" applyAlignment="1">
      <alignment vertical="center"/>
    </xf>
    <xf numFmtId="0" fontId="31" fillId="11" borderId="0" xfId="0" applyFont="1" applyFill="1" applyAlignment="1">
      <alignment vertical="center"/>
    </xf>
    <xf numFmtId="0" fontId="55" fillId="13" borderId="141" xfId="0" applyFont="1" applyFill="1" applyBorder="1" applyAlignment="1">
      <alignment horizontal="center" vertical="top" wrapText="1"/>
    </xf>
    <xf numFmtId="0" fontId="55" fillId="14" borderId="141" xfId="0" applyFont="1" applyFill="1" applyBorder="1" applyAlignment="1">
      <alignment vertical="top" wrapText="1"/>
    </xf>
    <xf numFmtId="0" fontId="31" fillId="14" borderId="141" xfId="0" applyFont="1" applyFill="1" applyBorder="1" applyAlignment="1">
      <alignment vertical="top" wrapText="1"/>
    </xf>
    <xf numFmtId="0" fontId="0" fillId="14" borderId="141" xfId="0" applyFont="1" applyFill="1" applyBorder="1" applyAlignment="1">
      <alignment vertical="top" wrapText="1"/>
    </xf>
    <xf numFmtId="0" fontId="0" fillId="0" borderId="141" xfId="0" applyFont="1" applyBorder="1" applyAlignment="1">
      <alignment vertical="top" wrapText="1"/>
    </xf>
    <xf numFmtId="0" fontId="31" fillId="0" borderId="141" xfId="0" applyFont="1" applyBorder="1" applyAlignment="1">
      <alignment vertical="top" wrapText="1"/>
    </xf>
    <xf numFmtId="0" fontId="0" fillId="15" borderId="141" xfId="0" applyFont="1" applyFill="1" applyBorder="1" applyAlignment="1">
      <alignment vertical="top" wrapText="1"/>
    </xf>
    <xf numFmtId="0" fontId="31" fillId="15" borderId="141" xfId="0" applyFont="1" applyFill="1" applyBorder="1" applyAlignment="1">
      <alignment vertical="top" wrapText="1"/>
    </xf>
    <xf numFmtId="0" fontId="72" fillId="13" borderId="141" xfId="0" applyFont="1" applyFill="1" applyBorder="1" applyAlignment="1">
      <alignment horizontal="center" vertical="top" wrapText="1"/>
    </xf>
    <xf numFmtId="0" fontId="55" fillId="13" borderId="141" xfId="0" applyFont="1" applyFill="1" applyBorder="1" applyAlignment="1">
      <alignment vertical="top" wrapText="1"/>
    </xf>
    <xf numFmtId="0" fontId="0" fillId="0" borderId="141" xfId="0" applyFont="1" applyBorder="1" applyAlignment="1">
      <alignment horizontal="center" vertical="top" wrapText="1"/>
    </xf>
    <xf numFmtId="0" fontId="68" fillId="0" borderId="141" xfId="0" applyFont="1" applyBorder="1" applyAlignment="1">
      <alignment vertical="top" wrapText="1"/>
    </xf>
    <xf numFmtId="0" fontId="73" fillId="0" borderId="141" xfId="0" applyFont="1" applyBorder="1" applyAlignment="1">
      <alignment vertical="top" wrapText="1"/>
    </xf>
    <xf numFmtId="0" fontId="74" fillId="0" borderId="141" xfId="0" applyFont="1" applyBorder="1" applyAlignment="1">
      <alignment vertical="top" wrapText="1"/>
    </xf>
    <xf numFmtId="0" fontId="31" fillId="0" borderId="0" xfId="0" applyFont="1" applyAlignment="1">
      <alignment vertical="top" wrapText="1"/>
    </xf>
    <xf numFmtId="0" fontId="68" fillId="0" borderId="0" xfId="0" applyFont="1" applyAlignment="1">
      <alignment vertical="top" wrapText="1"/>
    </xf>
    <xf numFmtId="0" fontId="73" fillId="0" borderId="0" xfId="0" applyFont="1" applyAlignment="1">
      <alignment vertical="top" wrapText="1"/>
    </xf>
    <xf numFmtId="0" fontId="55" fillId="13" borderId="0" xfId="0" applyFont="1" applyFill="1" applyAlignment="1">
      <alignment vertical="center"/>
    </xf>
    <xf numFmtId="0" fontId="72" fillId="13" borderId="0" xfId="0" applyFont="1" applyFill="1" applyAlignment="1">
      <alignment vertical="center"/>
    </xf>
    <xf numFmtId="0" fontId="31" fillId="13" borderId="0" xfId="0" applyFont="1" applyFill="1" applyAlignment="1">
      <alignment vertical="center"/>
    </xf>
    <xf numFmtId="0" fontId="55" fillId="16" borderId="142" xfId="0" applyFont="1" applyFill="1" applyBorder="1" applyAlignment="1">
      <alignment vertical="top" wrapText="1"/>
    </xf>
    <xf numFmtId="0" fontId="31" fillId="10" borderId="142" xfId="0" applyFont="1" applyFill="1" applyBorder="1" applyAlignment="1">
      <alignment vertical="top" wrapText="1"/>
    </xf>
    <xf numFmtId="0" fontId="31" fillId="0" borderId="142" xfId="0" applyFont="1" applyBorder="1" applyAlignment="1">
      <alignment vertical="top" wrapText="1"/>
    </xf>
    <xf numFmtId="0" fontId="0" fillId="0" borderId="142" xfId="0" applyFont="1" applyBorder="1" applyAlignment="1">
      <alignment vertical="top" wrapText="1"/>
    </xf>
    <xf numFmtId="0" fontId="0" fillId="10" borderId="142" xfId="0" applyFont="1" applyFill="1" applyBorder="1" applyAlignment="1">
      <alignment vertical="top" wrapText="1"/>
    </xf>
    <xf numFmtId="0" fontId="0" fillId="12" borderId="142" xfId="0" applyFont="1" applyFill="1" applyBorder="1" applyAlignment="1">
      <alignment vertical="top" wrapText="1"/>
    </xf>
    <xf numFmtId="0" fontId="55" fillId="17" borderId="142" xfId="0" applyFont="1" applyFill="1" applyBorder="1" applyAlignment="1">
      <alignment vertical="top" wrapText="1"/>
    </xf>
    <xf numFmtId="0" fontId="0" fillId="0" borderId="142" xfId="0" applyFont="1" applyBorder="1" applyAlignment="1">
      <alignment horizontal="center" vertical="top" wrapText="1"/>
    </xf>
    <xf numFmtId="0" fontId="10" fillId="0" borderId="0" xfId="0" applyFont="1" applyBorder="1" applyAlignment="1">
      <alignment horizontal="center" vertical="center"/>
    </xf>
    <xf numFmtId="0" fontId="11" fillId="0" borderId="0" xfId="0" applyFont="1" applyBorder="1" applyAlignment="1">
      <alignment horizontal="center" vertical="center"/>
    </xf>
    <xf numFmtId="0" fontId="13" fillId="0" borderId="0" xfId="0" applyFont="1" applyBorder="1" applyAlignment="1">
      <alignment horizontal="center" vertical="center"/>
    </xf>
    <xf numFmtId="0" fontId="15" fillId="0" borderId="0" xfId="0" applyFont="1" applyBorder="1" applyAlignment="1" applyProtection="1">
      <alignment horizontal="right" vertical="center"/>
      <protection locked="0"/>
    </xf>
    <xf numFmtId="0" fontId="6" fillId="0" borderId="0" xfId="0" applyFont="1" applyBorder="1" applyAlignment="1">
      <alignment vertical="center"/>
    </xf>
    <xf numFmtId="0" fontId="15" fillId="0" borderId="1" xfId="0" applyFont="1" applyBorder="1" applyAlignment="1">
      <alignment horizontal="center" vertical="center"/>
    </xf>
    <xf numFmtId="0" fontId="15" fillId="0" borderId="1" xfId="0" applyFont="1" applyBorder="1" applyAlignment="1" applyProtection="1">
      <alignment horizontal="left" vertical="center"/>
      <protection locked="0"/>
    </xf>
    <xf numFmtId="0" fontId="15" fillId="0" borderId="0" xfId="0" applyFont="1" applyBorder="1" applyAlignment="1" applyProtection="1">
      <alignment horizontal="left" vertical="center"/>
      <protection locked="0"/>
    </xf>
    <xf numFmtId="0" fontId="17" fillId="0" borderId="1" xfId="0" applyFont="1" applyBorder="1" applyAlignment="1" applyProtection="1">
      <alignment horizontal="left" vertical="center"/>
      <protection locked="0"/>
    </xf>
    <xf numFmtId="0" fontId="15" fillId="0" borderId="0" xfId="0" applyFont="1" applyBorder="1" applyAlignment="1">
      <alignment horizontal="left" wrapText="1"/>
    </xf>
    <xf numFmtId="0" fontId="15" fillId="0" borderId="2" xfId="0" applyFont="1" applyBorder="1" applyAlignment="1">
      <alignment horizontal="center" vertical="center"/>
    </xf>
    <xf numFmtId="0" fontId="16" fillId="2" borderId="3" xfId="0" applyFont="1" applyFill="1" applyBorder="1" applyAlignment="1">
      <alignment horizontal="center" vertical="center" wrapText="1"/>
    </xf>
    <xf numFmtId="0" fontId="6" fillId="0" borderId="4" xfId="0" applyFont="1" applyBorder="1" applyAlignment="1" applyProtection="1">
      <alignment horizontal="center" vertical="center" wrapText="1"/>
      <protection locked="0"/>
    </xf>
    <xf numFmtId="0" fontId="15" fillId="2" borderId="7" xfId="0" applyFont="1" applyFill="1" applyBorder="1" applyAlignment="1">
      <alignment horizontal="center" vertical="center"/>
    </xf>
    <xf numFmtId="0" fontId="15" fillId="0" borderId="8" xfId="0" applyFont="1" applyBorder="1" applyAlignment="1" applyProtection="1">
      <alignment horizontal="center" vertical="center" wrapText="1"/>
      <protection locked="0"/>
    </xf>
    <xf numFmtId="0" fontId="15" fillId="2" borderId="9" xfId="0" applyFont="1" applyFill="1" applyBorder="1" applyAlignment="1">
      <alignment horizontal="center" vertical="center"/>
    </xf>
    <xf numFmtId="0" fontId="15" fillId="0" borderId="10" xfId="0" applyFont="1" applyBorder="1" applyAlignment="1" applyProtection="1">
      <alignment horizontal="center" vertical="center" wrapText="1"/>
      <protection locked="0"/>
    </xf>
    <xf numFmtId="0" fontId="19" fillId="2" borderId="11" xfId="0" applyFont="1" applyFill="1" applyBorder="1" applyAlignment="1">
      <alignment horizontal="center" vertical="center"/>
    </xf>
    <xf numFmtId="0" fontId="6" fillId="0" borderId="12" xfId="0" applyFont="1" applyBorder="1" applyAlignment="1" applyProtection="1">
      <alignment horizontal="center" vertical="center" wrapText="1"/>
      <protection locked="0"/>
    </xf>
    <xf numFmtId="0" fontId="15" fillId="2" borderId="13" xfId="0" applyFont="1" applyFill="1" applyBorder="1" applyAlignment="1">
      <alignment horizontal="center" vertical="center"/>
    </xf>
    <xf numFmtId="176" fontId="6" fillId="3" borderId="14" xfId="0" applyNumberFormat="1" applyFont="1" applyFill="1" applyBorder="1" applyAlignment="1" applyProtection="1">
      <alignment horizontal="right" vertical="center"/>
      <protection locked="0"/>
    </xf>
    <xf numFmtId="0" fontId="15" fillId="2" borderId="3"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shrinkToFit="1"/>
      <protection locked="0"/>
    </xf>
    <xf numFmtId="0" fontId="15" fillId="2" borderId="20" xfId="0" applyFont="1" applyFill="1" applyBorder="1" applyAlignment="1" applyProtection="1">
      <alignment horizontal="center" vertical="center"/>
      <protection locked="0"/>
    </xf>
    <xf numFmtId="0" fontId="15" fillId="4" borderId="21" xfId="0" applyFont="1" applyFill="1" applyBorder="1" applyAlignment="1" applyProtection="1">
      <alignment horizontal="center" vertical="center" shrinkToFit="1"/>
      <protection locked="0"/>
    </xf>
    <xf numFmtId="0" fontId="19" fillId="0" borderId="23" xfId="0" applyFont="1" applyBorder="1" applyAlignment="1" applyProtection="1">
      <alignment horizontal="center" vertical="center" shrinkToFit="1"/>
      <protection locked="0"/>
    </xf>
    <xf numFmtId="0" fontId="15" fillId="2" borderId="24" xfId="0" applyFont="1" applyFill="1" applyBorder="1" applyAlignment="1" applyProtection="1">
      <alignment horizontal="center" vertical="center"/>
      <protection locked="0"/>
    </xf>
    <xf numFmtId="0" fontId="15" fillId="4" borderId="25" xfId="0" applyFont="1" applyFill="1" applyBorder="1" applyAlignment="1" applyProtection="1">
      <alignment horizontal="center" vertical="center" shrinkToFit="1"/>
      <protection locked="0"/>
    </xf>
    <xf numFmtId="0" fontId="15" fillId="0" borderId="23" xfId="0" applyFont="1" applyBorder="1" applyAlignment="1" applyProtection="1">
      <alignment horizontal="center" vertical="center" shrinkToFit="1"/>
      <protection locked="0"/>
    </xf>
    <xf numFmtId="0" fontId="6" fillId="2" borderId="27" xfId="0" applyFont="1" applyFill="1" applyBorder="1" applyAlignment="1" applyProtection="1">
      <alignment horizontal="center" vertical="center"/>
      <protection locked="0"/>
    </xf>
    <xf numFmtId="0" fontId="6" fillId="4" borderId="28" xfId="0" applyFont="1" applyFill="1" applyBorder="1" applyAlignment="1" applyProtection="1">
      <alignment horizontal="center" vertical="center" shrinkToFit="1"/>
      <protection locked="0"/>
    </xf>
    <xf numFmtId="0" fontId="15" fillId="2" borderId="29" xfId="0" applyFont="1" applyFill="1" applyBorder="1" applyAlignment="1" applyProtection="1">
      <alignment horizontal="center" vertical="center"/>
      <protection locked="0"/>
    </xf>
    <xf numFmtId="0" fontId="15" fillId="4" borderId="20" xfId="0" applyFont="1" applyFill="1" applyBorder="1" applyAlignment="1" applyProtection="1">
      <alignment horizontal="center" vertical="center" shrinkToFit="1"/>
      <protection locked="0"/>
    </xf>
    <xf numFmtId="0" fontId="19" fillId="4" borderId="23" xfId="0" applyFont="1" applyFill="1" applyBorder="1" applyAlignment="1" applyProtection="1">
      <alignment horizontal="center" vertical="center" shrinkToFit="1"/>
      <protection locked="0"/>
    </xf>
    <xf numFmtId="0" fontId="15" fillId="4" borderId="31" xfId="0" applyFont="1" applyFill="1" applyBorder="1" applyAlignment="1" applyProtection="1">
      <alignment horizontal="center" vertical="center" shrinkToFit="1"/>
      <protection locked="0"/>
    </xf>
    <xf numFmtId="0" fontId="6" fillId="4" borderId="32" xfId="0" applyFont="1" applyFill="1" applyBorder="1" applyAlignment="1" applyProtection="1">
      <alignment horizontal="center" vertical="center" shrinkToFit="1"/>
      <protection locked="0"/>
    </xf>
    <xf numFmtId="0" fontId="15" fillId="2" borderId="33" xfId="0" applyFont="1" applyFill="1" applyBorder="1" applyAlignment="1" applyProtection="1">
      <alignment horizontal="center" vertical="center" wrapText="1"/>
      <protection locked="0"/>
    </xf>
    <xf numFmtId="0" fontId="15" fillId="0" borderId="34" xfId="0" applyFont="1" applyBorder="1" applyAlignment="1" applyProtection="1">
      <alignment horizontal="left" vertical="center"/>
      <protection locked="0"/>
    </xf>
    <xf numFmtId="0" fontId="6" fillId="0" borderId="35" xfId="0" applyFont="1" applyBorder="1" applyAlignment="1" applyProtection="1">
      <alignment horizontal="left" vertical="center" wrapText="1"/>
      <protection locked="0"/>
    </xf>
    <xf numFmtId="0" fontId="22" fillId="0" borderId="0" xfId="0" applyFont="1" applyBorder="1" applyAlignment="1">
      <alignment horizontal="left" vertical="center" wrapText="1"/>
    </xf>
    <xf numFmtId="0" fontId="6" fillId="0" borderId="17" xfId="0" applyFont="1" applyBorder="1" applyAlignment="1">
      <alignment horizontal="right" vertical="center"/>
    </xf>
    <xf numFmtId="0" fontId="15" fillId="2" borderId="36" xfId="0" applyFont="1" applyFill="1" applyBorder="1" applyAlignment="1">
      <alignment horizontal="center" vertical="center" wrapText="1"/>
    </xf>
    <xf numFmtId="0" fontId="15" fillId="0" borderId="21" xfId="0" applyFont="1" applyBorder="1" applyAlignment="1" applyProtection="1">
      <alignment horizontal="left" vertical="center" wrapText="1"/>
      <protection locked="0"/>
    </xf>
    <xf numFmtId="0" fontId="15" fillId="2" borderId="37" xfId="0" applyFont="1" applyFill="1" applyBorder="1" applyAlignment="1">
      <alignment horizontal="center" vertical="center" wrapText="1"/>
    </xf>
    <xf numFmtId="0" fontId="15" fillId="0" borderId="12" xfId="0" applyFont="1" applyBorder="1" applyAlignment="1">
      <alignment horizontal="left" vertical="center" wrapText="1"/>
    </xf>
    <xf numFmtId="0" fontId="15" fillId="2" borderId="7" xfId="0" applyFont="1" applyFill="1" applyBorder="1" applyAlignment="1">
      <alignment horizontal="center" vertical="center" wrapText="1"/>
    </xf>
    <xf numFmtId="0" fontId="15" fillId="0" borderId="38" xfId="0" applyFont="1" applyBorder="1" applyAlignment="1">
      <alignment horizontal="left" vertical="center" wrapText="1"/>
    </xf>
    <xf numFmtId="0" fontId="15" fillId="2" borderId="39" xfId="0" applyFont="1" applyFill="1" applyBorder="1" applyAlignment="1">
      <alignment horizontal="center" vertical="center" wrapText="1"/>
    </xf>
    <xf numFmtId="0" fontId="17" fillId="0" borderId="40" xfId="0" applyFont="1" applyBorder="1" applyAlignment="1">
      <alignment horizontal="left" vertical="center" wrapText="1"/>
    </xf>
    <xf numFmtId="0" fontId="15" fillId="2" borderId="41" xfId="0" applyFont="1" applyFill="1" applyBorder="1" applyAlignment="1">
      <alignment horizontal="center" vertical="center" wrapText="1"/>
    </xf>
    <xf numFmtId="0" fontId="15" fillId="2" borderId="42" xfId="0" applyFont="1" applyFill="1" applyBorder="1" applyAlignment="1">
      <alignment horizontal="center" vertical="center" wrapText="1"/>
    </xf>
    <xf numFmtId="49" fontId="15" fillId="0" borderId="45" xfId="0" applyNumberFormat="1" applyFont="1" applyBorder="1" applyAlignment="1">
      <alignment horizontal="center" vertical="center" wrapText="1"/>
    </xf>
    <xf numFmtId="0" fontId="15" fillId="2" borderId="46" xfId="0" applyFont="1" applyFill="1" applyBorder="1" applyAlignment="1">
      <alignment horizontal="center" vertical="center" wrapText="1"/>
    </xf>
    <xf numFmtId="0" fontId="15" fillId="0" borderId="46" xfId="0" applyFont="1" applyBorder="1" applyAlignment="1" applyProtection="1">
      <alignment horizontal="left" vertical="center" wrapText="1"/>
      <protection locked="0"/>
    </xf>
    <xf numFmtId="0" fontId="15" fillId="2" borderId="47" xfId="0" applyFont="1" applyFill="1" applyBorder="1" applyAlignment="1">
      <alignment horizontal="center" vertical="center" wrapText="1"/>
    </xf>
    <xf numFmtId="49" fontId="15" fillId="0" borderId="48" xfId="0" applyNumberFormat="1" applyFont="1" applyBorder="1" applyAlignment="1">
      <alignment horizontal="left" vertical="center" wrapText="1"/>
    </xf>
    <xf numFmtId="0" fontId="25" fillId="0" borderId="46" xfId="28" applyFont="1" applyBorder="1" applyAlignment="1" applyProtection="1">
      <alignment horizontal="left" vertical="center" wrapText="1"/>
      <protection locked="0"/>
    </xf>
    <xf numFmtId="0" fontId="15" fillId="2" borderId="38" xfId="0" applyFont="1" applyFill="1" applyBorder="1" applyAlignment="1">
      <alignment horizontal="center" vertical="center" wrapText="1"/>
    </xf>
    <xf numFmtId="0" fontId="15" fillId="0" borderId="49" xfId="0" applyFont="1" applyBorder="1" applyAlignment="1" applyProtection="1">
      <alignment horizontal="center" vertical="center" shrinkToFit="1"/>
      <protection locked="0"/>
    </xf>
    <xf numFmtId="0" fontId="15" fillId="0" borderId="50" xfId="0" applyFont="1" applyBorder="1" applyAlignment="1" applyProtection="1">
      <alignment horizontal="left" vertical="center" shrinkToFit="1"/>
      <protection locked="0"/>
    </xf>
    <xf numFmtId="177" fontId="6" fillId="0" borderId="38" xfId="0" applyNumberFormat="1" applyFont="1" applyBorder="1" applyAlignment="1" applyProtection="1">
      <alignment horizontal="center" vertical="center" wrapText="1"/>
      <protection locked="0"/>
    </xf>
    <xf numFmtId="0" fontId="15" fillId="2" borderId="49" xfId="0" applyFont="1" applyFill="1" applyBorder="1" applyAlignment="1">
      <alignment horizontal="center" vertical="center" wrapText="1"/>
    </xf>
    <xf numFmtId="49" fontId="6" fillId="4" borderId="53" xfId="0" applyNumberFormat="1" applyFont="1" applyFill="1" applyBorder="1" applyAlignment="1">
      <alignment horizontal="center" vertical="center" wrapText="1"/>
    </xf>
    <xf numFmtId="0" fontId="16" fillId="2" borderId="7"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0" borderId="23" xfId="0" applyFont="1" applyBorder="1" applyAlignment="1" applyProtection="1">
      <alignment horizontal="left" vertical="center" wrapText="1"/>
      <protection locked="0"/>
    </xf>
    <xf numFmtId="0" fontId="15" fillId="4" borderId="8" xfId="0" applyFont="1" applyFill="1" applyBorder="1" applyAlignment="1" applyProtection="1">
      <alignment horizontal="center" vertical="center"/>
      <protection locked="0"/>
    </xf>
    <xf numFmtId="0" fontId="18" fillId="4" borderId="38" xfId="0" applyFont="1" applyFill="1" applyBorder="1" applyAlignment="1" applyProtection="1">
      <alignment horizontal="left" vertical="center" wrapText="1"/>
      <protection locked="0"/>
    </xf>
    <xf numFmtId="0" fontId="6" fillId="0" borderId="8" xfId="0" applyFont="1" applyBorder="1" applyAlignment="1" applyProtection="1">
      <alignment horizontal="left" vertical="center" wrapText="1"/>
      <protection locked="0"/>
    </xf>
    <xf numFmtId="0" fontId="15" fillId="0" borderId="8" xfId="0" applyFont="1" applyBorder="1" applyAlignment="1" applyProtection="1">
      <alignment horizontal="left" vertical="center" wrapText="1"/>
      <protection locked="0"/>
    </xf>
    <xf numFmtId="0" fontId="17" fillId="0" borderId="8" xfId="0" applyFont="1" applyBorder="1" applyAlignment="1" applyProtection="1">
      <alignment horizontal="left" vertical="center" wrapText="1"/>
      <protection locked="0"/>
    </xf>
    <xf numFmtId="178" fontId="15" fillId="2" borderId="38" xfId="0" applyNumberFormat="1" applyFont="1" applyFill="1" applyBorder="1" applyAlignment="1" applyProtection="1">
      <alignment horizontal="center" vertical="center" wrapText="1"/>
      <protection locked="0"/>
    </xf>
    <xf numFmtId="0" fontId="16" fillId="2" borderId="54" xfId="0" applyFont="1" applyFill="1" applyBorder="1" applyAlignment="1">
      <alignment horizontal="center" vertical="center" wrapText="1"/>
    </xf>
    <xf numFmtId="178" fontId="6" fillId="0" borderId="38" xfId="0" applyNumberFormat="1" applyFont="1" applyBorder="1" applyAlignment="1" applyProtection="1">
      <alignment horizontal="right" vertical="center" wrapText="1"/>
      <protection locked="0"/>
    </xf>
    <xf numFmtId="178" fontId="6" fillId="0" borderId="52" xfId="0" applyNumberFormat="1" applyFont="1" applyBorder="1" applyAlignment="1">
      <alignment horizontal="right" vertical="center" wrapText="1"/>
    </xf>
    <xf numFmtId="0" fontId="8" fillId="0" borderId="52" xfId="0" applyFont="1" applyBorder="1" applyAlignment="1">
      <alignment horizontal="right" vertical="center" wrapText="1"/>
    </xf>
    <xf numFmtId="0" fontId="15" fillId="2" borderId="12" xfId="0" applyFont="1" applyFill="1" applyBorder="1" applyAlignment="1">
      <alignment horizontal="center" vertical="center" wrapText="1"/>
    </xf>
    <xf numFmtId="178" fontId="6" fillId="0" borderId="57" xfId="0" applyNumberFormat="1" applyFont="1" applyBorder="1" applyAlignment="1">
      <alignment horizontal="right" vertical="center" wrapText="1"/>
    </xf>
    <xf numFmtId="178" fontId="6" fillId="0" borderId="38" xfId="0" applyNumberFormat="1" applyFont="1" applyBorder="1" applyAlignment="1" applyProtection="1">
      <alignment horizontal="center" vertical="center" wrapText="1"/>
      <protection locked="0"/>
    </xf>
    <xf numFmtId="0" fontId="26" fillId="0" borderId="0" xfId="0" applyFont="1" applyBorder="1" applyAlignment="1">
      <alignment horizontal="left" vertical="center" wrapText="1"/>
    </xf>
    <xf numFmtId="178" fontId="6" fillId="0" borderId="59" xfId="0" applyNumberFormat="1" applyFont="1" applyBorder="1" applyAlignment="1" applyProtection="1">
      <alignment horizontal="right" vertical="center" wrapText="1"/>
      <protection locked="0"/>
    </xf>
    <xf numFmtId="178" fontId="6" fillId="0" borderId="60" xfId="0" applyNumberFormat="1" applyFont="1" applyBorder="1" applyAlignment="1">
      <alignment horizontal="right" vertical="center" wrapText="1"/>
    </xf>
    <xf numFmtId="178" fontId="6" fillId="0" borderId="59" xfId="0" applyNumberFormat="1" applyFont="1" applyBorder="1" applyAlignment="1" applyProtection="1">
      <alignment horizontal="center" vertical="center" wrapText="1"/>
      <protection locked="0"/>
    </xf>
    <xf numFmtId="0" fontId="15" fillId="2" borderId="56" xfId="0" applyFont="1" applyFill="1" applyBorder="1" applyAlignment="1">
      <alignment horizontal="center" vertical="center" wrapText="1"/>
    </xf>
    <xf numFmtId="0" fontId="15" fillId="2" borderId="41" xfId="0" applyFont="1" applyFill="1" applyBorder="1" applyAlignment="1">
      <alignment horizontal="center" vertical="center"/>
    </xf>
    <xf numFmtId="0" fontId="23" fillId="5" borderId="0" xfId="0" applyFont="1" applyFill="1" applyBorder="1" applyAlignment="1">
      <alignment vertical="center"/>
    </xf>
    <xf numFmtId="0" fontId="15" fillId="2" borderId="29" xfId="0" applyFont="1" applyFill="1" applyBorder="1" applyAlignment="1">
      <alignment horizontal="left" vertical="center" wrapText="1"/>
    </xf>
    <xf numFmtId="0" fontId="15" fillId="2" borderId="62"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15" fillId="2" borderId="3" xfId="0" applyFont="1" applyFill="1" applyBorder="1" applyAlignment="1">
      <alignment vertical="center" wrapText="1"/>
    </xf>
    <xf numFmtId="0" fontId="15" fillId="2" borderId="7" xfId="0" applyFont="1" applyFill="1" applyBorder="1" applyAlignment="1">
      <alignment vertical="center" wrapText="1"/>
    </xf>
    <xf numFmtId="0" fontId="15" fillId="2" borderId="9" xfId="0" applyFont="1" applyFill="1" applyBorder="1" applyAlignment="1">
      <alignment horizontal="left" vertical="center" wrapText="1"/>
    </xf>
    <xf numFmtId="0" fontId="16" fillId="2" borderId="7" xfId="0" applyFont="1" applyFill="1" applyBorder="1" applyAlignment="1">
      <alignment vertical="center" wrapText="1"/>
    </xf>
    <xf numFmtId="0" fontId="15" fillId="0" borderId="8" xfId="0" applyFont="1" applyBorder="1" applyAlignment="1">
      <alignment horizontal="center" vertical="center"/>
    </xf>
    <xf numFmtId="0" fontId="16" fillId="2" borderId="66" xfId="0" applyFont="1" applyFill="1" applyBorder="1" applyAlignment="1">
      <alignment horizontal="left" vertical="center" wrapText="1"/>
    </xf>
    <xf numFmtId="0" fontId="6" fillId="0" borderId="0" xfId="0" applyFont="1" applyBorder="1" applyAlignment="1">
      <alignment vertical="center" wrapText="1"/>
    </xf>
    <xf numFmtId="0" fontId="15" fillId="2" borderId="13" xfId="0" applyFont="1" applyFill="1" applyBorder="1" applyAlignment="1">
      <alignment vertical="center" wrapText="1"/>
    </xf>
    <xf numFmtId="0" fontId="15" fillId="2" borderId="9" xfId="0" applyFont="1" applyFill="1" applyBorder="1" applyAlignment="1">
      <alignment vertical="center" wrapText="1"/>
    </xf>
    <xf numFmtId="0" fontId="15" fillId="0" borderId="67" xfId="0" applyFont="1" applyBorder="1" applyAlignment="1">
      <alignment horizontal="center" vertical="center"/>
    </xf>
    <xf numFmtId="0" fontId="15" fillId="2" borderId="68" xfId="0" applyFont="1" applyFill="1" applyBorder="1" applyAlignment="1">
      <alignment horizontal="left" vertical="center" wrapText="1"/>
    </xf>
    <xf numFmtId="0" fontId="15" fillId="0" borderId="63" xfId="0" applyFont="1" applyBorder="1" applyAlignment="1">
      <alignment horizontal="center" vertical="center"/>
    </xf>
    <xf numFmtId="0" fontId="15" fillId="2" borderId="69" xfId="0" applyFont="1" applyFill="1" applyBorder="1" applyAlignment="1">
      <alignment vertical="center" wrapText="1"/>
    </xf>
    <xf numFmtId="0" fontId="15" fillId="6" borderId="2" xfId="0" applyFont="1" applyFill="1" applyBorder="1" applyAlignment="1">
      <alignment horizontal="left" vertical="center" wrapText="1"/>
    </xf>
    <xf numFmtId="0" fontId="15" fillId="2" borderId="62" xfId="0" applyFont="1" applyFill="1" applyBorder="1" applyAlignment="1">
      <alignment vertical="center" wrapText="1"/>
    </xf>
    <xf numFmtId="0" fontId="15" fillId="2" borderId="11" xfId="0" applyFont="1" applyFill="1" applyBorder="1" applyAlignment="1">
      <alignment horizontal="left" vertical="center" wrapText="1"/>
    </xf>
    <xf numFmtId="0" fontId="15" fillId="2" borderId="33" xfId="0" applyFont="1" applyFill="1" applyBorder="1" applyAlignment="1">
      <alignment horizontal="left" vertical="center" wrapText="1"/>
    </xf>
    <xf numFmtId="0" fontId="15" fillId="0" borderId="17" xfId="0" applyFont="1" applyBorder="1" applyAlignment="1">
      <alignment vertical="center" wrapText="1"/>
    </xf>
    <xf numFmtId="0" fontId="28" fillId="0" borderId="67" xfId="0" applyFont="1" applyBorder="1" applyAlignment="1">
      <alignment vertical="center" wrapText="1"/>
    </xf>
    <xf numFmtId="0" fontId="15" fillId="0" borderId="71" xfId="0" applyFont="1" applyBorder="1" applyAlignment="1">
      <alignment vertical="center" wrapText="1"/>
    </xf>
    <xf numFmtId="0" fontId="6" fillId="2" borderId="62" xfId="0" applyFont="1" applyFill="1" applyBorder="1" applyAlignment="1">
      <alignment horizontal="left" vertical="center" wrapText="1"/>
    </xf>
    <xf numFmtId="0" fontId="6" fillId="2" borderId="7" xfId="0" applyFont="1" applyFill="1" applyBorder="1" applyAlignment="1">
      <alignment horizontal="left" vertical="center" wrapText="1"/>
    </xf>
    <xf numFmtId="0" fontId="15" fillId="2" borderId="33" xfId="0" applyFont="1" applyFill="1" applyBorder="1" applyAlignment="1">
      <alignment vertical="center" wrapText="1"/>
    </xf>
    <xf numFmtId="0" fontId="28" fillId="0" borderId="35" xfId="0" applyFont="1" applyBorder="1" applyAlignment="1">
      <alignment vertical="center" wrapText="1"/>
    </xf>
    <xf numFmtId="0" fontId="16" fillId="2" borderId="13" xfId="0" applyFont="1" applyFill="1" applyBorder="1" applyAlignment="1">
      <alignment vertical="center" wrapText="1"/>
    </xf>
    <xf numFmtId="0" fontId="23" fillId="5" borderId="0" xfId="0" applyFont="1" applyFill="1" applyBorder="1" applyAlignment="1">
      <alignment horizontal="left" vertical="center"/>
    </xf>
    <xf numFmtId="0" fontId="16" fillId="7" borderId="72" xfId="0" applyFont="1" applyFill="1" applyBorder="1" applyAlignment="1">
      <alignment horizontal="left" vertical="center"/>
    </xf>
    <xf numFmtId="0" fontId="17" fillId="0" borderId="73" xfId="0" applyFont="1" applyBorder="1" applyAlignment="1">
      <alignment vertical="center" wrapText="1"/>
    </xf>
    <xf numFmtId="0" fontId="15" fillId="7" borderId="72" xfId="0" applyFont="1" applyFill="1" applyBorder="1" applyAlignment="1">
      <alignment horizontal="left" vertical="center" wrapText="1"/>
    </xf>
    <xf numFmtId="0" fontId="15" fillId="7" borderId="76" xfId="0" applyFont="1" applyFill="1" applyBorder="1" applyAlignment="1">
      <alignment vertical="center" wrapText="1"/>
    </xf>
    <xf numFmtId="0" fontId="19" fillId="7" borderId="76" xfId="0" applyFont="1" applyFill="1" applyBorder="1" applyAlignment="1">
      <alignment vertical="center" wrapText="1"/>
    </xf>
    <xf numFmtId="0" fontId="16" fillId="7" borderId="77" xfId="0" applyFont="1" applyFill="1" applyBorder="1" applyAlignment="1">
      <alignment vertical="center"/>
    </xf>
    <xf numFmtId="0" fontId="31" fillId="7" borderId="77" xfId="0" applyFont="1" applyFill="1" applyBorder="1" applyAlignment="1">
      <alignment vertical="center" wrapText="1"/>
    </xf>
    <xf numFmtId="0" fontId="16" fillId="7" borderId="77" xfId="0" applyFont="1" applyFill="1" applyBorder="1" applyAlignment="1">
      <alignment vertical="center" wrapText="1"/>
    </xf>
    <xf numFmtId="0" fontId="17" fillId="0" borderId="78" xfId="0" applyFont="1" applyBorder="1" applyAlignment="1">
      <alignment vertical="center" wrapText="1"/>
    </xf>
    <xf numFmtId="0" fontId="17" fillId="0" borderId="78" xfId="0" applyFont="1" applyBorder="1" applyAlignment="1">
      <alignment horizontal="left" vertical="top" wrapText="1"/>
    </xf>
    <xf numFmtId="0" fontId="36" fillId="0" borderId="81" xfId="0" applyFont="1" applyBorder="1" applyAlignment="1">
      <alignment horizontal="left" vertical="center" wrapText="1"/>
    </xf>
    <xf numFmtId="0" fontId="35" fillId="0" borderId="0" xfId="0" applyFont="1" applyBorder="1" applyAlignment="1">
      <alignment horizontal="left" vertical="top" wrapText="1"/>
    </xf>
    <xf numFmtId="0" fontId="15" fillId="0" borderId="82" xfId="0" applyFont="1" applyBorder="1" applyAlignment="1">
      <alignment horizontal="center" vertical="center"/>
    </xf>
    <xf numFmtId="0" fontId="38" fillId="6" borderId="38" xfId="0" applyFont="1" applyFill="1" applyBorder="1" applyAlignment="1">
      <alignment horizontal="left" vertical="center"/>
    </xf>
    <xf numFmtId="0" fontId="39" fillId="6" borderId="38" xfId="0" applyFont="1" applyFill="1" applyBorder="1" applyAlignment="1">
      <alignment horizontal="left" vertical="center"/>
    </xf>
    <xf numFmtId="0" fontId="39" fillId="6" borderId="38" xfId="0" applyFont="1" applyFill="1" applyBorder="1" applyAlignment="1">
      <alignment horizontal="left" vertical="center" wrapText="1"/>
    </xf>
    <xf numFmtId="0" fontId="38" fillId="6" borderId="49" xfId="0" applyFont="1" applyFill="1" applyBorder="1" applyAlignment="1">
      <alignment horizontal="left" vertical="center"/>
    </xf>
    <xf numFmtId="0" fontId="0" fillId="0" borderId="52" xfId="0" applyBorder="1" applyAlignment="1">
      <alignment vertical="center"/>
    </xf>
    <xf numFmtId="0" fontId="0" fillId="0" borderId="54" xfId="0" applyBorder="1" applyAlignment="1">
      <alignment vertical="center"/>
    </xf>
    <xf numFmtId="0" fontId="39" fillId="6" borderId="49" xfId="0" applyFont="1" applyFill="1" applyBorder="1" applyAlignment="1">
      <alignment horizontal="left" vertical="center"/>
    </xf>
    <xf numFmtId="0" fontId="39" fillId="6" borderId="49" xfId="0" applyFont="1" applyFill="1" applyBorder="1" applyAlignment="1">
      <alignment horizontal="left" vertical="center" wrapText="1"/>
    </xf>
    <xf numFmtId="0" fontId="15" fillId="8" borderId="4" xfId="0" applyFont="1" applyFill="1" applyBorder="1" applyAlignment="1">
      <alignment horizontal="center" vertical="center"/>
    </xf>
    <xf numFmtId="0" fontId="15" fillId="0" borderId="67" xfId="0" applyFont="1" applyBorder="1" applyAlignment="1" applyProtection="1">
      <alignment horizontal="left" vertical="center" wrapText="1"/>
      <protection locked="0"/>
    </xf>
    <xf numFmtId="0" fontId="15" fillId="8" borderId="84" xfId="0" applyFont="1" applyFill="1" applyBorder="1" applyAlignment="1">
      <alignment horizontal="center" vertical="center"/>
    </xf>
    <xf numFmtId="0" fontId="15" fillId="3" borderId="38" xfId="0" applyFont="1" applyFill="1" applyBorder="1" applyAlignment="1" applyProtection="1">
      <alignment horizontal="left" vertical="center" wrapText="1"/>
      <protection locked="0"/>
    </xf>
    <xf numFmtId="0" fontId="41" fillId="0" borderId="8" xfId="0" applyFont="1" applyBorder="1" applyAlignment="1" applyProtection="1">
      <alignment horizontal="left" vertical="center" wrapText="1"/>
      <protection locked="0"/>
    </xf>
    <xf numFmtId="0" fontId="15" fillId="2" borderId="84" xfId="0" applyFont="1" applyFill="1" applyBorder="1" applyAlignment="1">
      <alignment horizontal="center" vertical="center"/>
    </xf>
    <xf numFmtId="0" fontId="16" fillId="2" borderId="29" xfId="0" applyFont="1" applyFill="1" applyBorder="1" applyAlignment="1">
      <alignment horizontal="center" vertical="center" wrapText="1"/>
    </xf>
    <xf numFmtId="0" fontId="45" fillId="0" borderId="20" xfId="0" applyFont="1" applyBorder="1" applyAlignment="1">
      <alignment horizontal="left" vertical="center" wrapText="1"/>
    </xf>
    <xf numFmtId="0" fontId="45" fillId="0" borderId="21" xfId="0" applyFont="1" applyBorder="1" applyAlignment="1">
      <alignment horizontal="left" vertical="center" wrapText="1"/>
    </xf>
    <xf numFmtId="0" fontId="48" fillId="0" borderId="85" xfId="0" applyFont="1" applyBorder="1" applyAlignment="1">
      <alignment horizontal="left" vertical="center" wrapText="1"/>
    </xf>
    <xf numFmtId="0" fontId="48" fillId="0" borderId="87" xfId="0" applyFont="1" applyBorder="1" applyAlignment="1">
      <alignment horizontal="left" vertical="center" wrapText="1"/>
    </xf>
    <xf numFmtId="0" fontId="16" fillId="0" borderId="27" xfId="0" applyFont="1" applyBorder="1" applyAlignment="1">
      <alignment horizontal="left" vertical="center" wrapText="1"/>
    </xf>
    <xf numFmtId="0" fontId="16" fillId="0" borderId="143" xfId="0" applyFont="1" applyBorder="1" applyAlignment="1">
      <alignment horizontal="left" vertical="center" wrapText="1"/>
    </xf>
    <xf numFmtId="0" fontId="15" fillId="2" borderId="3" xfId="0" applyFont="1" applyFill="1" applyBorder="1" applyAlignment="1">
      <alignment horizontal="center" vertical="center" wrapText="1"/>
    </xf>
    <xf numFmtId="0" fontId="15" fillId="2" borderId="29" xfId="0" applyFont="1" applyFill="1" applyBorder="1" applyAlignment="1">
      <alignment horizontal="center" vertical="center" wrapText="1"/>
    </xf>
    <xf numFmtId="0" fontId="16" fillId="0" borderId="20" xfId="0" applyFont="1" applyBorder="1" applyAlignment="1">
      <alignment horizontal="left" vertical="center" wrapText="1"/>
    </xf>
    <xf numFmtId="0" fontId="16" fillId="0" borderId="21" xfId="0" applyFont="1" applyBorder="1" applyAlignment="1">
      <alignment horizontal="left" vertical="center" wrapText="1"/>
    </xf>
    <xf numFmtId="0" fontId="17" fillId="2" borderId="3" xfId="0" applyFont="1" applyFill="1" applyBorder="1" applyAlignment="1">
      <alignment horizontal="center" vertical="center" wrapText="1"/>
    </xf>
    <xf numFmtId="0" fontId="17" fillId="2" borderId="29" xfId="0" applyFont="1" applyFill="1" applyBorder="1" applyAlignment="1">
      <alignment horizontal="center" vertical="center" wrapText="1"/>
    </xf>
    <xf numFmtId="0" fontId="16" fillId="0" borderId="85" xfId="0" applyFont="1" applyBorder="1" applyAlignment="1">
      <alignment horizontal="left" vertical="center" wrapText="1"/>
    </xf>
    <xf numFmtId="0" fontId="16" fillId="0" borderId="87" xfId="0" applyFont="1" applyBorder="1" applyAlignment="1">
      <alignment horizontal="left" vertical="center" wrapText="1"/>
    </xf>
    <xf numFmtId="0" fontId="50" fillId="2" borderId="7" xfId="0" applyFont="1" applyFill="1" applyBorder="1" applyAlignment="1">
      <alignment horizontal="center" vertical="center"/>
    </xf>
    <xf numFmtId="0" fontId="50" fillId="2" borderId="91" xfId="0" applyFont="1" applyFill="1" applyBorder="1" applyAlignment="1">
      <alignment horizontal="center" vertical="center"/>
    </xf>
    <xf numFmtId="0" fontId="50" fillId="2" borderId="94" xfId="0" applyFont="1" applyFill="1" applyBorder="1" applyAlignment="1">
      <alignment horizontal="center" vertical="center"/>
    </xf>
    <xf numFmtId="0" fontId="19" fillId="0" borderId="0" xfId="0" applyFont="1" applyBorder="1" applyAlignment="1">
      <alignment horizontal="left" vertical="center"/>
    </xf>
    <xf numFmtId="0" fontId="50" fillId="2" borderId="74" xfId="0" applyFont="1" applyFill="1" applyBorder="1" applyAlignment="1">
      <alignment horizontal="center" vertical="center"/>
    </xf>
    <xf numFmtId="0" fontId="50" fillId="2" borderId="84" xfId="0" applyFont="1" applyFill="1" applyBorder="1" applyAlignment="1">
      <alignment horizontal="center" vertical="center"/>
    </xf>
    <xf numFmtId="0" fontId="50" fillId="2" borderId="97" xfId="0" applyFont="1" applyFill="1" applyBorder="1" applyAlignment="1">
      <alignment horizontal="center" vertical="center"/>
    </xf>
    <xf numFmtId="0" fontId="50" fillId="2" borderId="5" xfId="0" applyFont="1" applyFill="1" applyBorder="1" applyAlignment="1">
      <alignment horizontal="center" vertical="center"/>
    </xf>
    <xf numFmtId="0" fontId="50" fillId="2" borderId="38" xfId="0" applyFont="1" applyFill="1" applyBorder="1" applyAlignment="1">
      <alignment horizontal="center" vertical="center"/>
    </xf>
    <xf numFmtId="0" fontId="50" fillId="2" borderId="38" xfId="0" applyFont="1" applyFill="1" applyBorder="1" applyAlignment="1">
      <alignment horizontal="right" vertical="center" shrinkToFit="1"/>
    </xf>
    <xf numFmtId="176" fontId="54" fillId="2" borderId="7" xfId="0" applyNumberFormat="1" applyFont="1" applyFill="1" applyBorder="1" applyAlignment="1">
      <alignment horizontal="center" vertical="center"/>
    </xf>
    <xf numFmtId="0" fontId="50" fillId="2" borderId="38" xfId="0" applyFont="1" applyFill="1" applyBorder="1" applyAlignment="1">
      <alignment horizontal="center" vertical="center" wrapText="1"/>
    </xf>
    <xf numFmtId="0" fontId="50" fillId="2" borderId="83" xfId="0" applyFont="1" applyFill="1" applyBorder="1" applyAlignment="1">
      <alignment horizontal="center" vertical="center"/>
    </xf>
    <xf numFmtId="0" fontId="50" fillId="2" borderId="83" xfId="0" applyFont="1" applyFill="1" applyBorder="1" applyAlignment="1">
      <alignment horizontal="right" vertical="center" shrinkToFit="1"/>
    </xf>
    <xf numFmtId="176" fontId="54" fillId="2" borderId="54" xfId="0" applyNumberFormat="1" applyFont="1" applyFill="1" applyBorder="1" applyAlignment="1">
      <alignment horizontal="center" vertical="center"/>
    </xf>
    <xf numFmtId="0" fontId="57" fillId="0" borderId="38" xfId="0" applyFont="1" applyBorder="1" applyAlignment="1">
      <alignment horizontal="left" vertical="center" shrinkToFit="1"/>
    </xf>
    <xf numFmtId="176" fontId="54" fillId="2" borderId="117" xfId="0" applyNumberFormat="1" applyFont="1" applyFill="1" applyBorder="1" applyAlignment="1">
      <alignment horizontal="center" vertical="center"/>
    </xf>
    <xf numFmtId="0" fontId="50" fillId="2" borderId="9" xfId="0" applyFont="1" applyFill="1" applyBorder="1" applyAlignment="1">
      <alignment horizontal="center" vertical="center"/>
    </xf>
    <xf numFmtId="0" fontId="56" fillId="2" borderId="65" xfId="0" applyFont="1" applyFill="1" applyBorder="1" applyAlignment="1">
      <alignment horizontal="center" vertical="center"/>
    </xf>
    <xf numFmtId="0" fontId="57" fillId="10" borderId="98" xfId="0" applyFont="1" applyFill="1" applyBorder="1" applyAlignment="1">
      <alignment horizontal="center" vertical="center"/>
    </xf>
    <xf numFmtId="0" fontId="57" fillId="10" borderId="85" xfId="0" applyFont="1" applyFill="1" applyBorder="1" applyAlignment="1">
      <alignment horizontal="center" vertical="center"/>
    </xf>
    <xf numFmtId="0" fontId="57" fillId="10" borderId="48" xfId="0" applyFont="1" applyFill="1" applyBorder="1" applyAlignment="1">
      <alignment horizontal="center" vertical="center"/>
    </xf>
    <xf numFmtId="0" fontId="50" fillId="2" borderId="118" xfId="0" applyFont="1" applyFill="1" applyBorder="1" applyAlignment="1">
      <alignment horizontal="center" vertical="center"/>
    </xf>
    <xf numFmtId="176" fontId="54" fillId="2" borderId="9" xfId="0" applyNumberFormat="1" applyFont="1" applyFill="1" applyBorder="1" applyAlignment="1">
      <alignment horizontal="center" vertical="center"/>
    </xf>
    <xf numFmtId="0" fontId="50" fillId="2" borderId="119" xfId="0" applyFont="1" applyFill="1" applyBorder="1" applyAlignment="1">
      <alignment horizontal="center" vertical="center"/>
    </xf>
    <xf numFmtId="176" fontId="54" fillId="2" borderId="91" xfId="0" applyNumberFormat="1" applyFont="1" applyFill="1" applyBorder="1" applyAlignment="1">
      <alignment horizontal="center" vertical="center"/>
    </xf>
    <xf numFmtId="0" fontId="50" fillId="2" borderId="121" xfId="0" applyFont="1" applyFill="1" applyBorder="1" applyAlignment="1">
      <alignment vertical="center"/>
    </xf>
    <xf numFmtId="0" fontId="50" fillId="2" borderId="124" xfId="0" applyFont="1" applyFill="1" applyBorder="1" applyAlignment="1">
      <alignment horizontal="right" vertical="center" shrinkToFit="1"/>
    </xf>
    <xf numFmtId="176" fontId="54" fillId="2" borderId="118" xfId="0" applyNumberFormat="1" applyFont="1" applyFill="1" applyBorder="1" applyAlignment="1">
      <alignment horizontal="center" vertical="center"/>
    </xf>
    <xf numFmtId="0" fontId="61" fillId="2" borderId="29" xfId="0" applyFont="1" applyFill="1" applyBorder="1" applyAlignment="1">
      <alignment horizontal="center" vertical="center"/>
    </xf>
    <xf numFmtId="0" fontId="62" fillId="0" borderId="61" xfId="0" applyFont="1" applyBorder="1" applyAlignment="1">
      <alignment vertical="center"/>
    </xf>
    <xf numFmtId="0" fontId="53" fillId="2" borderId="84" xfId="0" applyFont="1" applyFill="1" applyBorder="1" applyAlignment="1">
      <alignment horizontal="center" vertical="center"/>
    </xf>
    <xf numFmtId="0" fontId="53" fillId="2" borderId="7" xfId="0" applyFont="1" applyFill="1" applyBorder="1" applyAlignment="1">
      <alignment horizontal="center" vertical="center"/>
    </xf>
    <xf numFmtId="0" fontId="53" fillId="2" borderId="38" xfId="0" applyFont="1" applyFill="1" applyBorder="1" applyAlignment="1">
      <alignment horizontal="center" vertical="center"/>
    </xf>
    <xf numFmtId="0" fontId="53" fillId="2" borderId="38" xfId="0" applyFont="1" applyFill="1" applyBorder="1" applyAlignment="1">
      <alignment horizontal="right" vertical="center" shrinkToFit="1"/>
    </xf>
    <xf numFmtId="176" fontId="52" fillId="2" borderId="117" xfId="0" applyNumberFormat="1" applyFont="1" applyFill="1" applyBorder="1" applyAlignment="1">
      <alignment horizontal="center" vertical="center"/>
    </xf>
    <xf numFmtId="0" fontId="53" fillId="2" borderId="38" xfId="0" applyFont="1" applyFill="1" applyBorder="1" applyAlignment="1">
      <alignment horizontal="center" vertical="center" wrapText="1"/>
    </xf>
    <xf numFmtId="0" fontId="52" fillId="0" borderId="38" xfId="0" applyFont="1" applyBorder="1" applyAlignment="1">
      <alignment horizontal="left" vertical="center" shrinkToFit="1"/>
    </xf>
    <xf numFmtId="176" fontId="52" fillId="2" borderId="126" xfId="0" applyNumberFormat="1" applyFont="1" applyFill="1" applyBorder="1" applyAlignment="1">
      <alignment horizontal="center" vertical="center"/>
    </xf>
    <xf numFmtId="0" fontId="53" fillId="2" borderId="91" xfId="0" applyFont="1" applyFill="1" applyBorder="1" applyAlignment="1">
      <alignment vertical="center"/>
    </xf>
    <xf numFmtId="0" fontId="53" fillId="2" borderId="124" xfId="0" applyFont="1" applyFill="1" applyBorder="1" applyAlignment="1">
      <alignment horizontal="right" vertical="center" shrinkToFit="1"/>
    </xf>
    <xf numFmtId="176" fontId="52" fillId="2" borderId="131" xfId="0" applyNumberFormat="1" applyFont="1" applyFill="1" applyBorder="1" applyAlignment="1">
      <alignment horizontal="center" vertical="center"/>
    </xf>
    <xf numFmtId="0" fontId="53" fillId="2" borderId="94" xfId="0" applyFont="1" applyFill="1" applyBorder="1" applyAlignment="1">
      <alignment horizontal="center" vertical="center"/>
    </xf>
    <xf numFmtId="176" fontId="52" fillId="2" borderId="132" xfId="0" applyNumberFormat="1" applyFont="1" applyFill="1" applyBorder="1" applyAlignment="1">
      <alignment horizontal="center" vertical="center"/>
    </xf>
    <xf numFmtId="0" fontId="15" fillId="0" borderId="0" xfId="0" applyFont="1" applyBorder="1" applyAlignment="1">
      <alignment horizontal="left" vertical="top" wrapText="1"/>
    </xf>
    <xf numFmtId="0" fontId="2" fillId="0" borderId="0" xfId="0" applyFont="1" applyBorder="1" applyAlignment="1">
      <alignment horizontal="right" vertical="center"/>
    </xf>
    <xf numFmtId="0" fontId="15" fillId="0" borderId="0" xfId="0" applyFont="1" applyBorder="1" applyAlignment="1">
      <alignment vertical="center" wrapText="1"/>
    </xf>
    <xf numFmtId="0" fontId="62" fillId="0" borderId="0" xfId="0" applyFont="1" applyBorder="1" applyAlignment="1">
      <alignment horizontal="center" vertical="center"/>
    </xf>
    <xf numFmtId="0" fontId="31" fillId="0" borderId="0" xfId="0" applyFont="1" applyBorder="1" applyAlignment="1">
      <alignment horizontal="right" vertical="center" textRotation="255"/>
    </xf>
    <xf numFmtId="0" fontId="31" fillId="0" borderId="0" xfId="0" applyFont="1" applyBorder="1" applyAlignment="1">
      <alignment horizontal="center" vertical="center" textRotation="255"/>
    </xf>
    <xf numFmtId="0" fontId="31" fillId="0" borderId="0" xfId="0" applyFont="1" applyBorder="1" applyAlignment="1">
      <alignment vertical="center" wrapText="1"/>
    </xf>
    <xf numFmtId="0" fontId="31" fillId="0" borderId="0" xfId="0" applyFont="1" applyBorder="1" applyAlignment="1">
      <alignment horizontal="right" vertical="top" textRotation="255" wrapText="1"/>
    </xf>
    <xf numFmtId="0" fontId="31" fillId="0" borderId="0" xfId="0" applyFont="1" applyBorder="1" applyAlignment="1">
      <alignment horizontal="right" vertical="top" textRotation="255"/>
    </xf>
    <xf numFmtId="0" fontId="70" fillId="12" borderId="0" xfId="0" applyFont="1" applyFill="1" applyBorder="1" applyAlignment="1">
      <alignment horizontal="center" vertical="center"/>
    </xf>
  </cellXfs>
  <cellStyles count="43">
    <cellStyle name="パーセント 2" xfId="1" xr:uid="{00000000-0005-0000-0000-000006000000}"/>
    <cellStyle name="パーセント 2 2" xfId="2" xr:uid="{00000000-0005-0000-0000-000007000000}"/>
    <cellStyle name="パーセント 2 3" xfId="3" xr:uid="{00000000-0005-0000-0000-000008000000}"/>
    <cellStyle name="桁区切り 2" xfId="4" xr:uid="{00000000-0005-0000-0000-000009000000}"/>
    <cellStyle name="桁区切り 2 2" xfId="5" xr:uid="{00000000-0005-0000-0000-00000A000000}"/>
    <cellStyle name="桁区切り 2 2 2" xfId="6" xr:uid="{00000000-0005-0000-0000-00000B000000}"/>
    <cellStyle name="桁区切り 2 2 2 2" xfId="7" xr:uid="{00000000-0005-0000-0000-00000C000000}"/>
    <cellStyle name="桁区切り 2 2 3" xfId="8" xr:uid="{00000000-0005-0000-0000-00000D000000}"/>
    <cellStyle name="桁区切り 2 3" xfId="9" xr:uid="{00000000-0005-0000-0000-00000E000000}"/>
    <cellStyle name="桁区切り 2 3 2" xfId="10" xr:uid="{00000000-0005-0000-0000-00000F000000}"/>
    <cellStyle name="桁区切り 2 4" xfId="11" xr:uid="{00000000-0005-0000-0000-000010000000}"/>
    <cellStyle name="桁区切り 3" xfId="12" xr:uid="{00000000-0005-0000-0000-000011000000}"/>
    <cellStyle name="桁区切り 3 2" xfId="13" xr:uid="{00000000-0005-0000-0000-000012000000}"/>
    <cellStyle name="桁区切り 4" xfId="14" xr:uid="{00000000-0005-0000-0000-000013000000}"/>
    <cellStyle name="標準" xfId="0" builtinId="0"/>
    <cellStyle name="標準 10 2" xfId="15" xr:uid="{00000000-0005-0000-0000-000014000000}"/>
    <cellStyle name="標準 10 2 2" xfId="16" xr:uid="{00000000-0005-0000-0000-000015000000}"/>
    <cellStyle name="標準 10 3" xfId="17" xr:uid="{00000000-0005-0000-0000-000016000000}"/>
    <cellStyle name="標準 10 3 2" xfId="18" xr:uid="{00000000-0005-0000-0000-000017000000}"/>
    <cellStyle name="標準 13 3 3" xfId="19" xr:uid="{00000000-0005-0000-0000-000018000000}"/>
    <cellStyle name="標準 13 3 3 2" xfId="20" xr:uid="{00000000-0005-0000-0000-000019000000}"/>
    <cellStyle name="標準 2" xfId="21" xr:uid="{00000000-0005-0000-0000-00001A000000}"/>
    <cellStyle name="標準 2 2" xfId="22" xr:uid="{00000000-0005-0000-0000-00001B000000}"/>
    <cellStyle name="標準 2 2 2" xfId="23" xr:uid="{00000000-0005-0000-0000-00001C000000}"/>
    <cellStyle name="標準 2 2 2 2" xfId="24" xr:uid="{00000000-0005-0000-0000-00001D000000}"/>
    <cellStyle name="標準 2 3" xfId="25" xr:uid="{00000000-0005-0000-0000-00001E000000}"/>
    <cellStyle name="標準 2 3 2" xfId="26" xr:uid="{00000000-0005-0000-0000-00001F000000}"/>
    <cellStyle name="標準 2 3 3" xfId="27" xr:uid="{00000000-0005-0000-0000-000020000000}"/>
    <cellStyle name="標準 2 4" xfId="28" xr:uid="{00000000-0005-0000-0000-000021000000}"/>
    <cellStyle name="標準 3" xfId="29" xr:uid="{00000000-0005-0000-0000-000022000000}"/>
    <cellStyle name="標準 4" xfId="30" xr:uid="{00000000-0005-0000-0000-000023000000}"/>
    <cellStyle name="標準 4 2" xfId="31" xr:uid="{00000000-0005-0000-0000-000024000000}"/>
    <cellStyle name="標準 4 2 2" xfId="32" xr:uid="{00000000-0005-0000-0000-000025000000}"/>
    <cellStyle name="標準 4 2 2 2" xfId="33" xr:uid="{00000000-0005-0000-0000-000026000000}"/>
    <cellStyle name="標準 4 2 3" xfId="34" xr:uid="{00000000-0005-0000-0000-000027000000}"/>
    <cellStyle name="標準 5" xfId="35" xr:uid="{00000000-0005-0000-0000-000028000000}"/>
    <cellStyle name="標準 5 2" xfId="36" xr:uid="{00000000-0005-0000-0000-000029000000}"/>
    <cellStyle name="標準 5 3" xfId="37" xr:uid="{00000000-0005-0000-0000-00002A000000}"/>
    <cellStyle name="標準 6" xfId="38" xr:uid="{00000000-0005-0000-0000-00002B000000}"/>
    <cellStyle name="標準 6 2" xfId="39" xr:uid="{00000000-0005-0000-0000-00002C000000}"/>
    <cellStyle name="標準 7" xfId="40" xr:uid="{00000000-0005-0000-0000-00002D000000}"/>
    <cellStyle name="標準 7 2" xfId="41" xr:uid="{00000000-0005-0000-0000-00002E000000}"/>
    <cellStyle name="標準 7 2 2" xfId="42" xr:uid="{00000000-0005-0000-0000-00002F000000}"/>
  </cellStyles>
  <dxfs count="9">
    <dxf>
      <font>
        <strike val="0"/>
        <color rgb="FF7F7F7F"/>
      </font>
      <fill>
        <patternFill>
          <bgColor theme="1" tint="0.49958800012207405"/>
        </patternFill>
      </fill>
    </dxf>
    <dxf>
      <font>
        <strike val="0"/>
        <color rgb="FF7F7F7F"/>
      </font>
      <fill>
        <patternFill>
          <bgColor theme="1" tint="0.49958800012207405"/>
        </patternFill>
      </fill>
    </dxf>
    <dxf>
      <font>
        <strike val="0"/>
        <color rgb="FF7F7F7F"/>
      </font>
      <fill>
        <patternFill>
          <bgColor theme="1" tint="0.49958800012207405"/>
        </patternFill>
      </fill>
    </dxf>
    <dxf>
      <font>
        <strike val="0"/>
        <color rgb="FF7F7F7F"/>
      </font>
      <fill>
        <patternFill>
          <bgColor theme="1" tint="0.49958800012207405"/>
        </patternFill>
      </fill>
    </dxf>
    <dxf>
      <font>
        <strike val="0"/>
        <color rgb="FF7F7F7F"/>
      </font>
      <fill>
        <patternFill>
          <bgColor theme="1" tint="0.49958800012207405"/>
        </patternFill>
      </fill>
    </dxf>
    <dxf>
      <font>
        <strike val="0"/>
        <color rgb="FF7F7F7F"/>
      </font>
      <fill>
        <patternFill>
          <bgColor theme="1" tint="0.49958800012207405"/>
        </patternFill>
      </fill>
    </dxf>
    <dxf>
      <font>
        <color rgb="FF7F7F7F"/>
      </font>
      <fill>
        <patternFill>
          <bgColor theme="1" tint="0.49958800012207405"/>
        </patternFill>
      </fill>
    </dxf>
    <dxf>
      <font>
        <color rgb="FF7F7F7F"/>
      </font>
      <fill>
        <patternFill>
          <bgColor theme="1" tint="0.49958800012207405"/>
        </patternFill>
      </fill>
    </dxf>
    <dxf>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AAAAAA"/>
      <rgbColor rgb="FF7F7F7F"/>
      <rgbColor rgb="FF9999FF"/>
      <rgbColor rgb="FF7030A0"/>
      <rgbColor rgb="FFFFF2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F2F2F2"/>
      <rgbColor rgb="FFE2EFDA"/>
      <rgbColor rgb="FFFFE699"/>
      <rgbColor rgb="FFD9E1F2"/>
      <rgbColor rgb="FFE7E6E6"/>
      <rgbColor rgb="FFDBDBDB"/>
      <rgbColor rgb="FFD9D9D9"/>
      <rgbColor rgb="FF3366FF"/>
      <rgbColor rgb="FF33CCCC"/>
      <rgbColor rgb="FF99CC00"/>
      <rgbColor rgb="FFFFC000"/>
      <rgbColor rgb="FFFF9900"/>
      <rgbColor rgb="FFFF6600"/>
      <rgbColor rgb="FF666699"/>
      <rgbColor rgb="FFA6A6A6"/>
      <rgbColor rgb="FF1F3864"/>
      <rgbColor rgb="FF00B050"/>
      <rgbColor rgb="FF003300"/>
      <rgbColor rgb="FF333300"/>
      <rgbColor rgb="FF993300"/>
      <rgbColor rgb="FF993366"/>
      <rgbColor rgb="FF2E4057"/>
      <rgbColor rgb="FF1F2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dhw.ac.jp/" TargetMode="External"/><Relationship Id="rId1" Type="http://schemas.openxmlformats.org/officeDocument/2006/relationships/hyperlink" Target="mailto:fujiimasanori@dhw.co.jp"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pageSetUpPr fitToPage="1"/>
  </sheetPr>
  <dimension ref="B1:W48"/>
  <sheetViews>
    <sheetView zoomScale="90" zoomScaleNormal="90" workbookViewId="0">
      <selection activeCell="M40" sqref="M40:O40"/>
    </sheetView>
  </sheetViews>
  <sheetFormatPr defaultColWidth="9" defaultRowHeight="14"/>
  <cols>
    <col min="1" max="1" width="1.6640625" style="1" customWidth="1"/>
    <col min="2" max="2" width="4.5" style="1" customWidth="1"/>
    <col min="3" max="5" width="6" style="1" customWidth="1"/>
    <col min="6" max="6" width="14.6640625" style="1" customWidth="1"/>
    <col min="7" max="7" width="9.6640625" style="1" customWidth="1"/>
    <col min="8" max="12" width="7" style="2" customWidth="1"/>
    <col min="13" max="15" width="10" style="2" customWidth="1"/>
    <col min="16" max="16" width="4.5" style="1" customWidth="1"/>
    <col min="17" max="17" width="8.6640625" style="1" hidden="1" customWidth="1"/>
    <col min="18" max="18" width="1.6640625" style="1" customWidth="1"/>
    <col min="19" max="19" width="8.6640625" style="1" customWidth="1"/>
    <col min="20" max="20" width="11.6640625" style="1" hidden="1" customWidth="1"/>
    <col min="21" max="21" width="10.1640625" style="1" hidden="1" customWidth="1"/>
    <col min="22" max="22" width="9.6640625" style="1" hidden="1" customWidth="1"/>
    <col min="23" max="23" width="10.1640625" style="1" hidden="1" customWidth="1"/>
    <col min="24" max="24" width="10.1640625" style="1" customWidth="1"/>
    <col min="25" max="16384" width="9" style="1"/>
  </cols>
  <sheetData>
    <row r="1" spans="2:16" ht="15" customHeight="1">
      <c r="B1" s="3"/>
      <c r="C1" s="4"/>
      <c r="D1" s="4"/>
      <c r="E1" s="4"/>
      <c r="F1" s="5"/>
      <c r="G1" s="5"/>
      <c r="H1" s="5"/>
      <c r="I1" s="5"/>
      <c r="J1" s="5"/>
      <c r="K1" s="5"/>
      <c r="L1" s="5"/>
      <c r="M1" s="6"/>
      <c r="N1" s="6"/>
      <c r="O1" s="6"/>
      <c r="P1" s="6"/>
    </row>
    <row r="2" spans="2:16" ht="26.25" customHeight="1">
      <c r="B2" s="4"/>
      <c r="C2" s="4"/>
      <c r="D2" s="4"/>
      <c r="E2" s="4"/>
      <c r="F2" s="5"/>
      <c r="G2" s="5"/>
      <c r="H2" s="5"/>
      <c r="I2" s="5"/>
      <c r="J2" s="5"/>
      <c r="K2" s="5"/>
      <c r="L2" s="5"/>
      <c r="M2" s="6"/>
      <c r="N2" s="6"/>
      <c r="O2" s="6"/>
      <c r="P2" s="6"/>
    </row>
    <row r="3" spans="2:16" ht="27" customHeight="1">
      <c r="B3" s="4"/>
      <c r="C3" s="7"/>
      <c r="D3" s="410" t="s">
        <v>0</v>
      </c>
      <c r="E3" s="410"/>
      <c r="F3" s="410"/>
      <c r="G3" s="410"/>
      <c r="H3" s="410"/>
      <c r="I3" s="410"/>
      <c r="J3" s="410"/>
      <c r="K3" s="410"/>
      <c r="L3" s="410"/>
      <c r="M3" s="410"/>
      <c r="N3" s="410"/>
      <c r="O3" s="8"/>
      <c r="P3" s="6"/>
    </row>
    <row r="4" spans="2:16" ht="27" customHeight="1">
      <c r="B4" s="4"/>
      <c r="C4" s="410" t="s">
        <v>1</v>
      </c>
      <c r="D4" s="410"/>
      <c r="E4" s="410"/>
      <c r="F4" s="410"/>
      <c r="G4" s="410"/>
      <c r="H4" s="410"/>
      <c r="I4" s="410"/>
      <c r="J4" s="410"/>
      <c r="K4" s="410"/>
      <c r="L4" s="410"/>
      <c r="M4" s="410"/>
      <c r="N4" s="410"/>
      <c r="O4" s="410"/>
      <c r="P4" s="6"/>
    </row>
    <row r="5" spans="2:16" ht="27" customHeight="1">
      <c r="B5" s="6"/>
      <c r="C5" s="411" t="s">
        <v>2</v>
      </c>
      <c r="D5" s="411"/>
      <c r="E5" s="411"/>
      <c r="F5" s="411"/>
      <c r="G5" s="411"/>
      <c r="H5" s="411"/>
      <c r="I5" s="411"/>
      <c r="J5" s="411"/>
      <c r="K5" s="411"/>
      <c r="L5" s="411"/>
      <c r="M5" s="411"/>
      <c r="N5" s="411"/>
      <c r="O5" s="411"/>
      <c r="P5" s="6"/>
    </row>
    <row r="6" spans="2:16" ht="27" customHeight="1">
      <c r="B6" s="6"/>
      <c r="C6" s="9"/>
      <c r="D6" s="412" t="s">
        <v>3</v>
      </c>
      <c r="E6" s="412"/>
      <c r="F6" s="412"/>
      <c r="G6" s="412"/>
      <c r="H6" s="412"/>
      <c r="I6" s="412"/>
      <c r="J6" s="412"/>
      <c r="K6" s="412"/>
      <c r="L6" s="412"/>
      <c r="M6" s="412"/>
      <c r="N6" s="412"/>
      <c r="O6" s="9"/>
      <c r="P6" s="6"/>
    </row>
    <row r="7" spans="2:16" ht="27" customHeight="1">
      <c r="B7" s="6"/>
      <c r="C7" s="10"/>
      <c r="D7" s="10"/>
      <c r="E7" s="10"/>
      <c r="F7" s="10"/>
      <c r="G7" s="10"/>
      <c r="H7" s="10"/>
      <c r="I7" s="10"/>
      <c r="J7" s="10"/>
      <c r="K7" s="10"/>
      <c r="L7" s="10"/>
      <c r="M7" s="10"/>
      <c r="N7" s="10"/>
      <c r="O7" s="10"/>
      <c r="P7" s="6"/>
    </row>
    <row r="8" spans="2:16" ht="18" customHeight="1">
      <c r="B8" s="6"/>
      <c r="F8" s="2"/>
      <c r="G8" s="2"/>
      <c r="K8" s="11"/>
      <c r="L8" s="11"/>
      <c r="M8" s="12"/>
      <c r="N8" s="413" t="s">
        <v>4</v>
      </c>
      <c r="O8" s="413"/>
      <c r="P8" s="13"/>
    </row>
    <row r="9" spans="2:16" ht="18" customHeight="1">
      <c r="B9" s="6"/>
      <c r="F9" s="2"/>
      <c r="G9" s="2"/>
      <c r="K9" s="11"/>
      <c r="L9" s="11"/>
      <c r="M9" s="12"/>
      <c r="N9" s="12"/>
      <c r="O9" s="14"/>
      <c r="P9" s="13"/>
    </row>
    <row r="10" spans="2:16" ht="18" customHeight="1">
      <c r="B10" s="15" t="s">
        <v>5</v>
      </c>
      <c r="K10" s="11"/>
      <c r="L10" s="11"/>
      <c r="M10" s="11"/>
      <c r="N10" s="11"/>
      <c r="O10" s="11"/>
      <c r="P10" s="6"/>
    </row>
    <row r="11" spans="2:16" ht="18" customHeight="1">
      <c r="B11" s="6"/>
      <c r="K11" s="11"/>
      <c r="L11" s="11"/>
      <c r="M11" s="11"/>
      <c r="N11" s="11"/>
      <c r="O11" s="11"/>
      <c r="P11" s="6"/>
    </row>
    <row r="12" spans="2:16" ht="18" customHeight="1">
      <c r="B12" s="6"/>
      <c r="H12" s="16" t="s">
        <v>6</v>
      </c>
      <c r="K12" s="11"/>
      <c r="L12" s="11"/>
      <c r="M12" s="11"/>
      <c r="N12" s="11"/>
      <c r="O12" s="11"/>
      <c r="P12" s="6"/>
    </row>
    <row r="13" spans="2:16" ht="18" customHeight="1">
      <c r="B13" s="6"/>
      <c r="H13" s="1"/>
      <c r="I13" s="1"/>
      <c r="J13" s="1"/>
      <c r="K13" s="14"/>
      <c r="L13" s="414"/>
      <c r="M13" s="414"/>
      <c r="N13" s="17"/>
      <c r="O13" s="1"/>
      <c r="P13" s="6"/>
    </row>
    <row r="14" spans="2:16" ht="18" customHeight="1">
      <c r="B14" s="6"/>
      <c r="H14" s="415" t="s">
        <v>7</v>
      </c>
      <c r="I14" s="415"/>
      <c r="J14" s="415"/>
      <c r="K14" s="416" t="s">
        <v>8</v>
      </c>
      <c r="L14" s="416"/>
      <c r="M14" s="416"/>
      <c r="N14" s="416"/>
      <c r="O14" s="416"/>
      <c r="P14" s="6"/>
    </row>
    <row r="15" spans="2:16" ht="18" customHeight="1">
      <c r="B15" s="6"/>
      <c r="K15" s="17"/>
      <c r="L15" s="17"/>
      <c r="M15" s="17"/>
      <c r="N15" s="17"/>
      <c r="O15" s="17"/>
      <c r="P15" s="6"/>
    </row>
    <row r="16" spans="2:16" ht="18" customHeight="1">
      <c r="B16" s="6"/>
      <c r="H16" s="1"/>
      <c r="J16" s="18" t="s">
        <v>9</v>
      </c>
      <c r="K16" s="417" t="s">
        <v>10</v>
      </c>
      <c r="L16" s="417"/>
      <c r="M16" s="417"/>
      <c r="N16" s="417"/>
      <c r="O16" s="417"/>
      <c r="P16" s="6"/>
    </row>
    <row r="17" spans="2:23" ht="18" customHeight="1">
      <c r="B17" s="6"/>
      <c r="H17" s="415" t="s">
        <v>11</v>
      </c>
      <c r="I17" s="415"/>
      <c r="J17" s="415"/>
      <c r="K17" s="416" t="s">
        <v>12</v>
      </c>
      <c r="L17" s="416"/>
      <c r="M17" s="416"/>
      <c r="N17" s="416"/>
      <c r="O17" s="416"/>
      <c r="P17" s="6"/>
    </row>
    <row r="18" spans="2:23" ht="18" customHeight="1">
      <c r="B18" s="6"/>
      <c r="G18" s="2"/>
      <c r="K18" s="11"/>
      <c r="L18" s="11"/>
      <c r="M18" s="11"/>
      <c r="N18" s="11"/>
      <c r="O18" s="11"/>
      <c r="P18" s="5"/>
    </row>
    <row r="19" spans="2:23" ht="18" customHeight="1">
      <c r="B19" s="6"/>
      <c r="H19" s="415" t="s">
        <v>13</v>
      </c>
      <c r="I19" s="415"/>
      <c r="J19" s="415"/>
      <c r="K19" s="418" t="s">
        <v>14</v>
      </c>
      <c r="L19" s="418"/>
      <c r="M19" s="418"/>
      <c r="N19" s="418"/>
      <c r="O19" s="418"/>
      <c r="P19" s="6"/>
    </row>
    <row r="20" spans="2:23" ht="18" customHeight="1">
      <c r="G20" s="2"/>
      <c r="K20" s="11"/>
      <c r="L20" s="11"/>
      <c r="M20" s="11"/>
      <c r="N20" s="11"/>
      <c r="O20" s="11"/>
      <c r="P20" s="2"/>
    </row>
    <row r="21" spans="2:23" ht="18" customHeight="1"/>
    <row r="22" spans="2:23" ht="18" customHeight="1">
      <c r="C22" s="419" t="s">
        <v>15</v>
      </c>
      <c r="D22" s="419"/>
      <c r="E22" s="419"/>
      <c r="F22" s="419"/>
      <c r="G22" s="419"/>
      <c r="H22" s="419"/>
      <c r="I22" s="419"/>
      <c r="J22" s="419"/>
      <c r="K22" s="419"/>
      <c r="L22" s="419"/>
      <c r="M22" s="419"/>
      <c r="N22" s="419"/>
      <c r="O22" s="419"/>
    </row>
    <row r="23" spans="2:23" ht="18" customHeight="1">
      <c r="C23" s="19"/>
      <c r="D23" s="19"/>
      <c r="E23" s="19"/>
      <c r="F23" s="19"/>
      <c r="G23" s="19"/>
      <c r="H23" s="19"/>
      <c r="I23" s="19"/>
      <c r="J23" s="19"/>
      <c r="K23" s="19"/>
      <c r="L23" s="19"/>
      <c r="M23" s="19"/>
      <c r="N23" s="19"/>
      <c r="O23" s="19"/>
    </row>
    <row r="24" spans="2:23" ht="18" customHeight="1">
      <c r="C24" s="420" t="s">
        <v>16</v>
      </c>
      <c r="D24" s="420"/>
      <c r="E24" s="420"/>
      <c r="F24" s="420"/>
      <c r="G24" s="420"/>
      <c r="H24" s="420"/>
      <c r="I24" s="420"/>
      <c r="J24" s="420"/>
      <c r="K24" s="420"/>
      <c r="L24" s="420"/>
      <c r="M24" s="420"/>
      <c r="N24" s="420"/>
      <c r="O24" s="420"/>
    </row>
    <row r="25" spans="2:23" ht="19.5" customHeight="1">
      <c r="C25" s="2"/>
      <c r="D25" s="2"/>
      <c r="E25" s="2"/>
      <c r="F25" s="2"/>
      <c r="G25" s="2"/>
    </row>
    <row r="26" spans="2:23" ht="9.75" customHeight="1"/>
    <row r="27" spans="2:23" ht="57.75" customHeight="1">
      <c r="C27" s="421" t="s">
        <v>17</v>
      </c>
      <c r="D27" s="421"/>
      <c r="E27" s="421"/>
      <c r="F27" s="421"/>
      <c r="G27" s="421"/>
      <c r="H27" s="422" t="s">
        <v>18</v>
      </c>
      <c r="I27" s="422"/>
      <c r="J27" s="422"/>
      <c r="K27" s="422"/>
      <c r="L27" s="422"/>
      <c r="M27" s="422"/>
      <c r="N27" s="422"/>
      <c r="O27" s="422"/>
      <c r="Q27" s="20"/>
      <c r="R27" s="20"/>
      <c r="T27" s="21"/>
      <c r="V27" s="22" t="s">
        <v>19</v>
      </c>
      <c r="W27" s="23"/>
    </row>
    <row r="28" spans="2:23" ht="31.5" customHeight="1">
      <c r="C28" s="423" t="s">
        <v>20</v>
      </c>
      <c r="D28" s="423"/>
      <c r="E28" s="423"/>
      <c r="F28" s="423"/>
      <c r="G28" s="423"/>
      <c r="H28" s="424" t="s">
        <v>21</v>
      </c>
      <c r="I28" s="424"/>
      <c r="J28" s="424"/>
      <c r="K28" s="424"/>
      <c r="L28" s="424"/>
      <c r="M28" s="424"/>
      <c r="N28" s="424"/>
      <c r="O28" s="424"/>
      <c r="Q28" s="20"/>
      <c r="R28" s="20"/>
      <c r="T28" s="21"/>
      <c r="W28" s="23"/>
    </row>
    <row r="29" spans="2:23" ht="31.5" customHeight="1">
      <c r="C29" s="425" t="s">
        <v>22</v>
      </c>
      <c r="D29" s="425"/>
      <c r="E29" s="425"/>
      <c r="F29" s="425"/>
      <c r="G29" s="425"/>
      <c r="H29" s="426" t="s">
        <v>23</v>
      </c>
      <c r="I29" s="426"/>
      <c r="J29" s="426"/>
      <c r="K29" s="426"/>
      <c r="L29" s="426"/>
      <c r="M29" s="426"/>
      <c r="N29" s="426"/>
      <c r="O29" s="426"/>
      <c r="Q29" s="20"/>
      <c r="R29" s="20"/>
      <c r="T29" s="21"/>
      <c r="W29" s="23"/>
    </row>
    <row r="30" spans="2:23" ht="21" customHeight="1">
      <c r="C30" s="427" t="s">
        <v>24</v>
      </c>
      <c r="D30" s="427"/>
      <c r="E30" s="427"/>
      <c r="F30" s="427"/>
      <c r="G30" s="427"/>
      <c r="H30" s="428"/>
      <c r="I30" s="428"/>
      <c r="J30" s="428"/>
      <c r="K30" s="428"/>
      <c r="L30" s="428"/>
      <c r="M30" s="428"/>
      <c r="N30" s="428"/>
      <c r="O30" s="428"/>
      <c r="Q30" s="20"/>
      <c r="R30" s="20"/>
      <c r="T30" s="21"/>
      <c r="W30" s="23"/>
    </row>
    <row r="31" spans="2:23" ht="31.5" customHeight="1">
      <c r="C31" s="429" t="s">
        <v>25</v>
      </c>
      <c r="D31" s="429"/>
      <c r="E31" s="429"/>
      <c r="F31" s="429"/>
      <c r="G31" s="429"/>
      <c r="H31" s="430">
        <f>'１０．収支予算書'!C30</f>
        <v>191318</v>
      </c>
      <c r="I31" s="430"/>
      <c r="J31" s="430"/>
      <c r="K31" s="430"/>
      <c r="L31" s="430"/>
      <c r="M31" s="430"/>
      <c r="N31" s="430"/>
      <c r="O31" s="24" t="s">
        <v>26</v>
      </c>
      <c r="Q31" s="9"/>
      <c r="R31" s="9"/>
      <c r="T31" s="25"/>
      <c r="U31" s="26"/>
      <c r="V31" s="26"/>
      <c r="W31" s="27"/>
    </row>
    <row r="32" spans="2:23" ht="30" customHeight="1">
      <c r="C32" s="28"/>
      <c r="D32" s="28"/>
      <c r="E32" s="29"/>
      <c r="F32" s="30"/>
      <c r="G32" s="31"/>
      <c r="H32" s="31"/>
      <c r="I32" s="31"/>
      <c r="J32" s="31"/>
      <c r="K32" s="31"/>
      <c r="L32" s="6"/>
      <c r="M32" s="6"/>
      <c r="N32" s="1"/>
      <c r="O32" s="1"/>
    </row>
    <row r="33" spans="2:20" ht="21" customHeight="1">
      <c r="C33" s="22" t="s">
        <v>27</v>
      </c>
    </row>
    <row r="34" spans="2:20" ht="21" customHeight="1">
      <c r="C34" s="431" t="s">
        <v>28</v>
      </c>
      <c r="D34" s="431"/>
      <c r="E34" s="431"/>
      <c r="F34" s="32" t="s">
        <v>29</v>
      </c>
      <c r="G34" s="432" t="s">
        <v>30</v>
      </c>
      <c r="H34" s="432"/>
      <c r="I34" s="432"/>
      <c r="J34" s="432"/>
      <c r="K34" s="433" t="s">
        <v>31</v>
      </c>
      <c r="L34" s="433"/>
      <c r="M34" s="434" t="s">
        <v>32</v>
      </c>
      <c r="N34" s="434"/>
      <c r="O34" s="434"/>
      <c r="Q34" s="33"/>
      <c r="R34" s="33"/>
    </row>
    <row r="35" spans="2:20" ht="21" customHeight="1">
      <c r="C35" s="431"/>
      <c r="D35" s="431"/>
      <c r="E35" s="431"/>
      <c r="F35" s="34" t="s">
        <v>33</v>
      </c>
      <c r="G35" s="435" t="s">
        <v>34</v>
      </c>
      <c r="H35" s="435"/>
      <c r="I35" s="435"/>
      <c r="J35" s="435"/>
      <c r="K35" s="436" t="s">
        <v>35</v>
      </c>
      <c r="L35" s="436"/>
      <c r="M35" s="437" t="s">
        <v>36</v>
      </c>
      <c r="N35" s="437"/>
      <c r="O35" s="437"/>
      <c r="Q35" s="33"/>
      <c r="R35" s="33"/>
    </row>
    <row r="36" spans="2:20" ht="21" customHeight="1">
      <c r="C36" s="431"/>
      <c r="D36" s="431"/>
      <c r="E36" s="431"/>
      <c r="F36" s="35" t="s">
        <v>37</v>
      </c>
      <c r="G36" s="438" t="s">
        <v>38</v>
      </c>
      <c r="H36" s="438"/>
      <c r="I36" s="438"/>
      <c r="J36" s="438"/>
      <c r="K36" s="439"/>
      <c r="L36" s="439"/>
      <c r="M36" s="440"/>
      <c r="N36" s="440"/>
      <c r="O36" s="440"/>
      <c r="Q36" s="33"/>
      <c r="R36" s="33"/>
    </row>
    <row r="37" spans="2:20" ht="21" customHeight="1">
      <c r="C37" s="441" t="s">
        <v>39</v>
      </c>
      <c r="D37" s="441"/>
      <c r="E37" s="441"/>
      <c r="F37" s="32" t="s">
        <v>29</v>
      </c>
      <c r="G37" s="442" t="s">
        <v>40</v>
      </c>
      <c r="H37" s="442"/>
      <c r="I37" s="442"/>
      <c r="J37" s="442"/>
      <c r="K37" s="433" t="s">
        <v>31</v>
      </c>
      <c r="L37" s="433"/>
      <c r="M37" s="434" t="s">
        <v>32</v>
      </c>
      <c r="N37" s="434"/>
      <c r="O37" s="434"/>
      <c r="Q37" s="33"/>
      <c r="R37" s="33"/>
    </row>
    <row r="38" spans="2:20" ht="21" customHeight="1">
      <c r="C38" s="441"/>
      <c r="D38" s="441"/>
      <c r="E38" s="441"/>
      <c r="F38" s="34" t="s">
        <v>33</v>
      </c>
      <c r="G38" s="443" t="s">
        <v>41</v>
      </c>
      <c r="H38" s="443"/>
      <c r="I38" s="443"/>
      <c r="J38" s="443"/>
      <c r="K38" s="436" t="s">
        <v>35</v>
      </c>
      <c r="L38" s="436"/>
      <c r="M38" s="437" t="s">
        <v>36</v>
      </c>
      <c r="N38" s="437"/>
      <c r="O38" s="437"/>
      <c r="Q38" s="33"/>
      <c r="R38" s="33"/>
    </row>
    <row r="39" spans="2:20" ht="21" customHeight="1">
      <c r="C39" s="441"/>
      <c r="D39" s="441"/>
      <c r="E39" s="441"/>
      <c r="F39" s="36" t="s">
        <v>37</v>
      </c>
      <c r="G39" s="444" t="s">
        <v>42</v>
      </c>
      <c r="H39" s="444"/>
      <c r="I39" s="444"/>
      <c r="J39" s="444"/>
      <c r="K39" s="439"/>
      <c r="L39" s="439"/>
      <c r="M39" s="445"/>
      <c r="N39" s="445"/>
      <c r="O39" s="445"/>
      <c r="Q39" s="33"/>
      <c r="R39" s="33"/>
    </row>
    <row r="40" spans="2:20" ht="21" customHeight="1">
      <c r="C40" s="441" t="s">
        <v>43</v>
      </c>
      <c r="D40" s="441"/>
      <c r="E40" s="441"/>
      <c r="F40" s="32" t="s">
        <v>29</v>
      </c>
      <c r="G40" s="442" t="s">
        <v>40</v>
      </c>
      <c r="H40" s="442"/>
      <c r="I40" s="442"/>
      <c r="J40" s="442"/>
      <c r="K40" s="433" t="s">
        <v>31</v>
      </c>
      <c r="L40" s="433"/>
      <c r="M40" s="434" t="s">
        <v>32</v>
      </c>
      <c r="N40" s="434"/>
      <c r="O40" s="434"/>
    </row>
    <row r="41" spans="2:20" ht="21" customHeight="1">
      <c r="C41" s="441"/>
      <c r="D41" s="441"/>
      <c r="E41" s="441"/>
      <c r="F41" s="34" t="s">
        <v>33</v>
      </c>
      <c r="G41" s="443" t="s">
        <v>41</v>
      </c>
      <c r="H41" s="443"/>
      <c r="I41" s="443"/>
      <c r="J41" s="443"/>
      <c r="K41" s="436" t="s">
        <v>35</v>
      </c>
      <c r="L41" s="436"/>
      <c r="M41" s="437" t="s">
        <v>36</v>
      </c>
      <c r="N41" s="437"/>
      <c r="O41" s="437"/>
    </row>
    <row r="42" spans="2:20" ht="21" customHeight="1">
      <c r="C42" s="441"/>
      <c r="D42" s="441"/>
      <c r="E42" s="441"/>
      <c r="F42" s="36" t="s">
        <v>37</v>
      </c>
      <c r="G42" s="444" t="s">
        <v>42</v>
      </c>
      <c r="H42" s="444"/>
      <c r="I42" s="444"/>
      <c r="J42" s="444"/>
      <c r="K42" s="439"/>
      <c r="L42" s="439"/>
      <c r="M42" s="445"/>
      <c r="N42" s="445"/>
      <c r="O42" s="445"/>
    </row>
    <row r="43" spans="2:20" ht="18" customHeight="1">
      <c r="C43" s="446" t="s">
        <v>44</v>
      </c>
      <c r="D43" s="446"/>
      <c r="E43" s="446"/>
      <c r="F43" s="447" t="s">
        <v>45</v>
      </c>
      <c r="G43" s="447"/>
      <c r="H43" s="447"/>
      <c r="I43" s="447"/>
      <c r="J43" s="447"/>
      <c r="K43" s="447"/>
      <c r="L43" s="447"/>
      <c r="M43" s="447"/>
      <c r="N43" s="447"/>
      <c r="O43" s="447"/>
    </row>
    <row r="44" spans="2:20" ht="21" customHeight="1">
      <c r="C44" s="446"/>
      <c r="D44" s="446"/>
      <c r="E44" s="446"/>
      <c r="F44" s="448"/>
      <c r="G44" s="448"/>
      <c r="H44" s="448"/>
      <c r="I44" s="448"/>
      <c r="J44" s="448"/>
      <c r="K44" s="448"/>
      <c r="L44" s="448"/>
      <c r="M44" s="448"/>
      <c r="N44" s="448"/>
      <c r="O44" s="448"/>
    </row>
    <row r="45" spans="2:20" ht="15" customHeight="1"/>
    <row r="46" spans="2:20" ht="15" customHeight="1">
      <c r="C46" s="37" t="s">
        <v>46</v>
      </c>
    </row>
    <row r="47" spans="2:20" ht="15" customHeight="1"/>
    <row r="48" spans="2:20" ht="18.75" customHeight="1">
      <c r="B48" s="449" t="s">
        <v>47</v>
      </c>
      <c r="C48" s="449"/>
      <c r="D48" s="449"/>
      <c r="E48" s="449"/>
      <c r="F48" s="449"/>
      <c r="G48" s="449"/>
      <c r="H48" s="449"/>
      <c r="I48" s="449"/>
      <c r="J48" s="449"/>
      <c r="K48" s="449"/>
      <c r="L48" s="449"/>
      <c r="M48" s="449"/>
      <c r="N48" s="449"/>
      <c r="O48" s="449"/>
      <c r="P48" s="449"/>
      <c r="Q48" s="449"/>
      <c r="R48" s="449"/>
      <c r="S48" s="449"/>
      <c r="T48" s="449"/>
    </row>
  </sheetData>
  <mergeCells count="59">
    <mergeCell ref="C43:E44"/>
    <mergeCell ref="F43:O43"/>
    <mergeCell ref="F44:O44"/>
    <mergeCell ref="B48:T48"/>
    <mergeCell ref="C40:E42"/>
    <mergeCell ref="G40:J40"/>
    <mergeCell ref="K40:L40"/>
    <mergeCell ref="M40:O40"/>
    <mergeCell ref="G41:J41"/>
    <mergeCell ref="K41:L41"/>
    <mergeCell ref="M41:O41"/>
    <mergeCell ref="G42:J42"/>
    <mergeCell ref="K42:L42"/>
    <mergeCell ref="M42:O42"/>
    <mergeCell ref="C37:E39"/>
    <mergeCell ref="G37:J37"/>
    <mergeCell ref="K37:L37"/>
    <mergeCell ref="M37:O37"/>
    <mergeCell ref="G38:J38"/>
    <mergeCell ref="K38:L38"/>
    <mergeCell ref="M38:O38"/>
    <mergeCell ref="G39:J39"/>
    <mergeCell ref="K39:L39"/>
    <mergeCell ref="M39:O39"/>
    <mergeCell ref="C31:G31"/>
    <mergeCell ref="H31:N31"/>
    <mergeCell ref="C34:E36"/>
    <mergeCell ref="G34:J34"/>
    <mergeCell ref="K34:L34"/>
    <mergeCell ref="M34:O34"/>
    <mergeCell ref="G35:J35"/>
    <mergeCell ref="K35:L35"/>
    <mergeCell ref="M35:O35"/>
    <mergeCell ref="G36:J36"/>
    <mergeCell ref="K36:L36"/>
    <mergeCell ref="M36:O36"/>
    <mergeCell ref="C28:G28"/>
    <mergeCell ref="H28:O28"/>
    <mergeCell ref="C29:G29"/>
    <mergeCell ref="H29:O29"/>
    <mergeCell ref="C30:G30"/>
    <mergeCell ref="H30:O30"/>
    <mergeCell ref="H19:J19"/>
    <mergeCell ref="K19:O19"/>
    <mergeCell ref="C22:O22"/>
    <mergeCell ref="C24:O24"/>
    <mergeCell ref="C27:G27"/>
    <mergeCell ref="H27:O27"/>
    <mergeCell ref="L13:M13"/>
    <mergeCell ref="H14:J14"/>
    <mergeCell ref="K14:O14"/>
    <mergeCell ref="K16:O16"/>
    <mergeCell ref="H17:J17"/>
    <mergeCell ref="K17:O17"/>
    <mergeCell ref="D3:N3"/>
    <mergeCell ref="C4:O4"/>
    <mergeCell ref="C5:O5"/>
    <mergeCell ref="D6:N6"/>
    <mergeCell ref="N8:O8"/>
  </mergeCells>
  <phoneticPr fontId="77"/>
  <dataValidations count="1">
    <dataValidation type="list" allowBlank="1" showInputMessage="1" showErrorMessage="1" sqref="H29:O29" xr:uid="{00000000-0002-0000-0000-000000000000}">
      <formula1>"マンガ,アニメ,ゲーム,映像,音楽,その他"</formula1>
      <formula2>0</formula2>
    </dataValidation>
  </dataValidations>
  <pageMargins left="0.70833333333333304" right="0.70833333333333304" top="0.74791666666666701" bottom="0.74791666666666701"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B1:AG31"/>
  <sheetViews>
    <sheetView zoomScaleNormal="100" workbookViewId="0">
      <selection activeCell="V16" sqref="V16"/>
    </sheetView>
  </sheetViews>
  <sheetFormatPr defaultColWidth="8.9140625" defaultRowHeight="14"/>
  <cols>
    <col min="1" max="1" width="1.6640625" style="1" customWidth="1"/>
    <col min="2" max="3" width="7" style="1" customWidth="1"/>
    <col min="4" max="8" width="6.1640625" style="1" customWidth="1"/>
    <col min="9" max="10" width="4.4140625" style="1" customWidth="1"/>
    <col min="11" max="11" width="2.5" style="1" customWidth="1"/>
    <col min="12" max="13" width="5.9140625" style="1" customWidth="1"/>
    <col min="14" max="14" width="11.6640625" style="1" customWidth="1"/>
    <col min="15" max="15" width="5.9140625" style="1" customWidth="1"/>
    <col min="16" max="16" width="5.1640625" style="1" customWidth="1"/>
    <col min="17" max="20" width="6.1640625" style="1" customWidth="1"/>
    <col min="21" max="21" width="1.6640625" style="1" customWidth="1"/>
    <col min="22" max="22" width="55.6640625" style="1" customWidth="1"/>
    <col min="23" max="33" width="4.5" style="1" hidden="1" customWidth="1"/>
    <col min="34" max="34" width="0.1640625" style="1" customWidth="1"/>
    <col min="35" max="40" width="4.5" style="1" customWidth="1"/>
    <col min="41" max="16384" width="8.9140625" style="1"/>
  </cols>
  <sheetData>
    <row r="1" spans="2:32" ht="19.5" customHeight="1">
      <c r="B1" s="38" t="s">
        <v>48</v>
      </c>
      <c r="C1" s="38"/>
      <c r="D1" s="38"/>
      <c r="E1" s="39"/>
      <c r="F1" s="39"/>
      <c r="G1" s="39"/>
      <c r="H1" s="39"/>
      <c r="I1" s="39"/>
      <c r="J1" s="39"/>
      <c r="K1" s="39"/>
      <c r="L1" s="39"/>
      <c r="M1" s="39"/>
      <c r="N1" s="39"/>
      <c r="O1" s="39"/>
      <c r="P1" s="39"/>
      <c r="Q1" s="39"/>
      <c r="R1" s="39"/>
      <c r="S1" s="39"/>
      <c r="T1" s="39"/>
      <c r="U1" s="40"/>
    </row>
    <row r="2" spans="2:32" ht="5.25" customHeight="1">
      <c r="B2" s="9"/>
      <c r="Q2" s="450"/>
      <c r="R2" s="450"/>
      <c r="S2" s="450"/>
      <c r="T2" s="450"/>
      <c r="U2" s="14"/>
    </row>
    <row r="3" spans="2:32" ht="22.5" customHeight="1">
      <c r="B3" s="451" t="s">
        <v>33</v>
      </c>
      <c r="C3" s="451"/>
      <c r="D3" s="452" t="s">
        <v>49</v>
      </c>
      <c r="E3" s="452"/>
      <c r="F3" s="452"/>
      <c r="G3" s="452"/>
      <c r="H3" s="452"/>
      <c r="I3" s="452"/>
      <c r="J3" s="452"/>
      <c r="K3" s="452"/>
      <c r="L3" s="452"/>
      <c r="M3" s="452"/>
      <c r="N3" s="452"/>
      <c r="O3" s="452"/>
      <c r="P3" s="452"/>
      <c r="Q3" s="452"/>
      <c r="R3" s="452"/>
      <c r="S3" s="452"/>
      <c r="T3" s="452"/>
      <c r="U3" s="41"/>
    </row>
    <row r="4" spans="2:32" ht="37.5" customHeight="1">
      <c r="B4" s="453" t="s">
        <v>50</v>
      </c>
      <c r="C4" s="453"/>
      <c r="D4" s="454" t="s">
        <v>51</v>
      </c>
      <c r="E4" s="454"/>
      <c r="F4" s="454"/>
      <c r="G4" s="454"/>
      <c r="H4" s="454"/>
      <c r="I4" s="454"/>
      <c r="J4" s="454"/>
      <c r="K4" s="454"/>
      <c r="L4" s="454"/>
      <c r="M4" s="454"/>
      <c r="N4" s="454"/>
      <c r="O4" s="454"/>
      <c r="P4" s="454"/>
      <c r="Q4" s="454"/>
      <c r="R4" s="454"/>
      <c r="S4" s="454"/>
      <c r="T4" s="454"/>
      <c r="U4" s="42"/>
    </row>
    <row r="5" spans="2:32" ht="21.75" customHeight="1">
      <c r="B5" s="455" t="s">
        <v>52</v>
      </c>
      <c r="C5" s="455"/>
      <c r="D5" s="456" t="s">
        <v>53</v>
      </c>
      <c r="E5" s="456"/>
      <c r="F5" s="456"/>
      <c r="G5" s="456"/>
      <c r="H5" s="456"/>
      <c r="I5" s="457" t="s">
        <v>33</v>
      </c>
      <c r="J5" s="457"/>
      <c r="K5" s="457"/>
      <c r="L5" s="457"/>
      <c r="M5" s="457"/>
      <c r="N5" s="458" t="s">
        <v>54</v>
      </c>
      <c r="O5" s="458"/>
      <c r="P5" s="458"/>
      <c r="Q5" s="458"/>
      <c r="R5" s="458"/>
      <c r="S5" s="458"/>
      <c r="T5" s="458"/>
      <c r="U5" s="42"/>
    </row>
    <row r="6" spans="2:32" ht="21.75" customHeight="1">
      <c r="B6" s="455"/>
      <c r="C6" s="455"/>
      <c r="D6" s="456"/>
      <c r="E6" s="456"/>
      <c r="F6" s="456"/>
      <c r="G6" s="456"/>
      <c r="H6" s="456"/>
      <c r="I6" s="459" t="s">
        <v>55</v>
      </c>
      <c r="J6" s="459"/>
      <c r="K6" s="459"/>
      <c r="L6" s="459"/>
      <c r="M6" s="459"/>
      <c r="N6" s="454" t="s">
        <v>56</v>
      </c>
      <c r="O6" s="454"/>
      <c r="P6" s="454"/>
      <c r="Q6" s="454"/>
      <c r="R6" s="454"/>
      <c r="S6" s="454"/>
      <c r="T6" s="454"/>
      <c r="U6" s="42"/>
    </row>
    <row r="7" spans="2:32" ht="21.75" customHeight="1">
      <c r="B7" s="460" t="s">
        <v>57</v>
      </c>
      <c r="C7" s="460"/>
      <c r="D7" s="44" t="s">
        <v>58</v>
      </c>
      <c r="E7" s="45" t="s">
        <v>59</v>
      </c>
      <c r="F7" s="461" t="s">
        <v>60</v>
      </c>
      <c r="G7" s="461"/>
      <c r="H7" s="461"/>
      <c r="I7" s="462" t="s">
        <v>31</v>
      </c>
      <c r="J7" s="462"/>
      <c r="K7" s="462"/>
      <c r="L7" s="462"/>
      <c r="M7" s="462"/>
      <c r="N7" s="463" t="s">
        <v>61</v>
      </c>
      <c r="O7" s="463"/>
      <c r="P7" s="463"/>
      <c r="Q7" s="463"/>
      <c r="R7" s="463"/>
      <c r="S7" s="463"/>
      <c r="T7" s="463"/>
      <c r="U7" s="41"/>
    </row>
    <row r="8" spans="2:32" ht="22.5" customHeight="1">
      <c r="B8" s="464" t="s">
        <v>62</v>
      </c>
      <c r="C8" s="464"/>
      <c r="D8" s="465" t="s">
        <v>12</v>
      </c>
      <c r="E8" s="465"/>
      <c r="F8" s="465"/>
      <c r="G8" s="465"/>
      <c r="H8" s="465"/>
      <c r="I8" s="462" t="s">
        <v>35</v>
      </c>
      <c r="J8" s="462"/>
      <c r="K8" s="462"/>
      <c r="L8" s="462"/>
      <c r="M8" s="462"/>
      <c r="N8" s="466" t="s">
        <v>63</v>
      </c>
      <c r="O8" s="466"/>
      <c r="P8" s="466"/>
      <c r="Q8" s="466"/>
      <c r="R8" s="466"/>
      <c r="S8" s="466"/>
      <c r="T8" s="466"/>
      <c r="U8" s="41"/>
    </row>
    <row r="9" spans="2:32" ht="22.5" customHeight="1">
      <c r="B9" s="464"/>
      <c r="C9" s="464"/>
      <c r="D9" s="465"/>
      <c r="E9" s="465"/>
      <c r="F9" s="465"/>
      <c r="G9" s="465"/>
      <c r="H9" s="465"/>
      <c r="I9" s="467" t="s">
        <v>64</v>
      </c>
      <c r="J9" s="467"/>
      <c r="K9" s="467"/>
      <c r="L9" s="467"/>
      <c r="M9" s="467"/>
      <c r="N9" s="466" t="s">
        <v>65</v>
      </c>
      <c r="O9" s="466"/>
      <c r="P9" s="466"/>
      <c r="Q9" s="466"/>
      <c r="R9" s="466"/>
      <c r="S9" s="466"/>
      <c r="T9" s="466"/>
      <c r="U9" s="41"/>
    </row>
    <row r="10" spans="2:32" ht="22.5" customHeight="1">
      <c r="B10" s="455" t="s">
        <v>66</v>
      </c>
      <c r="C10" s="455"/>
      <c r="D10" s="468" t="s">
        <v>67</v>
      </c>
      <c r="E10" s="468"/>
      <c r="F10" s="468"/>
      <c r="G10" s="469" t="s">
        <v>68</v>
      </c>
      <c r="H10" s="469"/>
      <c r="I10" s="469"/>
      <c r="J10" s="47" t="s">
        <v>69</v>
      </c>
      <c r="K10" s="48"/>
      <c r="L10" s="48"/>
      <c r="M10" s="48"/>
      <c r="N10" s="48"/>
      <c r="O10" s="48"/>
      <c r="P10" s="48"/>
      <c r="Q10" s="48"/>
      <c r="R10" s="48"/>
      <c r="S10" s="48"/>
      <c r="T10" s="49"/>
      <c r="U10" s="17"/>
      <c r="W10" s="22" t="s">
        <v>70</v>
      </c>
      <c r="X10" s="22" t="s">
        <v>71</v>
      </c>
      <c r="Y10" s="22" t="s">
        <v>72</v>
      </c>
      <c r="Z10" s="22" t="s">
        <v>73</v>
      </c>
      <c r="AA10" s="22" t="s">
        <v>74</v>
      </c>
      <c r="AB10" s="22" t="s">
        <v>75</v>
      </c>
      <c r="AC10" s="22" t="s">
        <v>68</v>
      </c>
      <c r="AD10" s="22" t="s">
        <v>76</v>
      </c>
      <c r="AE10" s="22" t="s">
        <v>77</v>
      </c>
      <c r="AF10" s="22" t="s">
        <v>67</v>
      </c>
    </row>
    <row r="11" spans="2:32" ht="22.5" customHeight="1">
      <c r="B11" s="455" t="s">
        <v>78</v>
      </c>
      <c r="C11" s="455"/>
      <c r="D11" s="470" t="s">
        <v>79</v>
      </c>
      <c r="E11" s="470"/>
      <c r="F11" s="470"/>
      <c r="G11" s="471" t="s">
        <v>80</v>
      </c>
      <c r="H11" s="471"/>
      <c r="I11" s="471"/>
      <c r="J11" s="470" t="s">
        <v>81</v>
      </c>
      <c r="K11" s="470"/>
      <c r="L11" s="470"/>
      <c r="M11" s="470"/>
      <c r="N11" s="470"/>
      <c r="O11" s="467" t="s">
        <v>82</v>
      </c>
      <c r="P11" s="467"/>
      <c r="Q11" s="467"/>
      <c r="R11" s="472"/>
      <c r="S11" s="472"/>
      <c r="T11" s="472"/>
      <c r="U11" s="50"/>
    </row>
    <row r="12" spans="2:32" ht="22.5" customHeight="1">
      <c r="B12" s="473" t="s">
        <v>83</v>
      </c>
      <c r="C12" s="473"/>
      <c r="D12" s="467" t="s">
        <v>84</v>
      </c>
      <c r="E12" s="467"/>
      <c r="F12" s="467"/>
      <c r="G12" s="467"/>
      <c r="H12" s="467"/>
      <c r="I12" s="474" t="s">
        <v>85</v>
      </c>
      <c r="J12" s="474"/>
      <c r="K12" s="474"/>
      <c r="L12" s="474"/>
      <c r="M12" s="474"/>
      <c r="N12" s="474"/>
      <c r="O12" s="474"/>
      <c r="P12" s="474"/>
      <c r="Q12" s="474"/>
      <c r="R12" s="474"/>
      <c r="S12" s="474"/>
      <c r="T12" s="474"/>
      <c r="U12" s="51"/>
    </row>
    <row r="13" spans="2:32" ht="79.5" customHeight="1">
      <c r="B13" s="473"/>
      <c r="C13" s="473"/>
      <c r="D13" s="475" t="s">
        <v>86</v>
      </c>
      <c r="E13" s="475"/>
      <c r="F13" s="475"/>
      <c r="G13" s="475"/>
      <c r="H13" s="475"/>
      <c r="I13" s="476" t="s">
        <v>87</v>
      </c>
      <c r="J13" s="476"/>
      <c r="K13" s="476"/>
      <c r="L13" s="476"/>
      <c r="M13" s="476"/>
      <c r="N13" s="476"/>
      <c r="O13" s="476"/>
      <c r="P13" s="476"/>
      <c r="Q13" s="476"/>
      <c r="R13" s="476"/>
      <c r="S13" s="476"/>
      <c r="T13" s="476"/>
      <c r="U13" s="11"/>
    </row>
    <row r="14" spans="2:32" ht="22.5" customHeight="1">
      <c r="B14" s="473"/>
      <c r="C14" s="473"/>
      <c r="D14" s="471" t="s">
        <v>88</v>
      </c>
      <c r="E14" s="471"/>
      <c r="F14" s="477" t="s">
        <v>89</v>
      </c>
      <c r="G14" s="477"/>
      <c r="H14" s="477"/>
      <c r="I14" s="476"/>
      <c r="J14" s="476"/>
      <c r="K14" s="476"/>
      <c r="L14" s="476"/>
      <c r="M14" s="476"/>
      <c r="N14" s="476"/>
      <c r="O14" s="476"/>
      <c r="P14" s="476"/>
      <c r="Q14" s="476"/>
      <c r="R14" s="476"/>
      <c r="S14" s="476"/>
      <c r="T14" s="476"/>
      <c r="U14" s="11"/>
    </row>
    <row r="15" spans="2:32" ht="22.5" customHeight="1">
      <c r="B15" s="473"/>
      <c r="C15" s="473"/>
      <c r="D15" s="471" t="s">
        <v>90</v>
      </c>
      <c r="E15" s="471"/>
      <c r="F15" s="477" t="s">
        <v>91</v>
      </c>
      <c r="G15" s="477"/>
      <c r="H15" s="477"/>
      <c r="I15" s="476"/>
      <c r="J15" s="476"/>
      <c r="K15" s="476"/>
      <c r="L15" s="476"/>
      <c r="M15" s="476"/>
      <c r="N15" s="476"/>
      <c r="O15" s="476"/>
      <c r="P15" s="476"/>
      <c r="Q15" s="476"/>
      <c r="R15" s="476"/>
      <c r="S15" s="476"/>
      <c r="T15" s="476"/>
      <c r="U15" s="11"/>
    </row>
    <row r="16" spans="2:32" ht="120" customHeight="1">
      <c r="B16" s="455" t="s">
        <v>92</v>
      </c>
      <c r="C16" s="455"/>
      <c r="D16" s="478" t="s">
        <v>93</v>
      </c>
      <c r="E16" s="478"/>
      <c r="F16" s="478"/>
      <c r="G16" s="478"/>
      <c r="H16" s="478"/>
      <c r="I16" s="478"/>
      <c r="J16" s="478"/>
      <c r="K16" s="478"/>
      <c r="L16" s="478"/>
      <c r="M16" s="478"/>
      <c r="N16" s="478"/>
      <c r="O16" s="478"/>
      <c r="P16" s="478"/>
      <c r="Q16" s="478"/>
      <c r="R16" s="478"/>
      <c r="S16" s="478"/>
      <c r="T16" s="478"/>
      <c r="U16" s="41"/>
    </row>
    <row r="17" spans="2:21" ht="120" customHeight="1">
      <c r="B17" s="455" t="s">
        <v>94</v>
      </c>
      <c r="C17" s="455"/>
      <c r="D17" s="479" t="s">
        <v>95</v>
      </c>
      <c r="E17" s="479"/>
      <c r="F17" s="479"/>
      <c r="G17" s="479"/>
      <c r="H17" s="479"/>
      <c r="I17" s="479"/>
      <c r="J17" s="479"/>
      <c r="K17" s="479"/>
      <c r="L17" s="479"/>
      <c r="M17" s="479"/>
      <c r="N17" s="479"/>
      <c r="O17" s="479"/>
      <c r="P17" s="479"/>
      <c r="Q17" s="479"/>
      <c r="R17" s="479"/>
      <c r="S17" s="479"/>
      <c r="T17" s="479"/>
      <c r="U17" s="41"/>
    </row>
    <row r="18" spans="2:21" ht="120" customHeight="1">
      <c r="B18" s="455" t="s">
        <v>96</v>
      </c>
      <c r="C18" s="455"/>
      <c r="D18" s="480" t="s">
        <v>97</v>
      </c>
      <c r="E18" s="480"/>
      <c r="F18" s="480"/>
      <c r="G18" s="480"/>
      <c r="H18" s="480"/>
      <c r="I18" s="480"/>
      <c r="J18" s="480"/>
      <c r="K18" s="480"/>
      <c r="L18" s="480"/>
      <c r="M18" s="480"/>
      <c r="N18" s="480"/>
      <c r="O18" s="480"/>
      <c r="P18" s="480"/>
      <c r="Q18" s="480"/>
      <c r="R18" s="480"/>
      <c r="S18" s="480"/>
      <c r="T18" s="480"/>
      <c r="U18" s="41"/>
    </row>
    <row r="19" spans="2:21" ht="36" customHeight="1">
      <c r="B19" s="455" t="s">
        <v>98</v>
      </c>
      <c r="C19" s="455"/>
      <c r="D19" s="52"/>
      <c r="E19" s="481" t="s">
        <v>99</v>
      </c>
      <c r="F19" s="481"/>
      <c r="G19" s="481"/>
      <c r="H19" s="481"/>
      <c r="I19" s="482" t="s">
        <v>100</v>
      </c>
      <c r="J19" s="482"/>
      <c r="K19" s="482"/>
      <c r="L19" s="482"/>
      <c r="M19" s="482"/>
      <c r="N19" s="467" t="s">
        <v>101</v>
      </c>
      <c r="O19" s="467"/>
      <c r="P19" s="467"/>
      <c r="Q19" s="467"/>
      <c r="R19" s="467"/>
      <c r="S19" s="467"/>
      <c r="T19" s="467"/>
      <c r="U19" s="53"/>
    </row>
    <row r="20" spans="2:21" ht="31.5" customHeight="1">
      <c r="B20" s="455"/>
      <c r="C20" s="455"/>
      <c r="D20" s="54">
        <v>1</v>
      </c>
      <c r="E20" s="483"/>
      <c r="F20" s="483"/>
      <c r="G20" s="483"/>
      <c r="H20" s="483"/>
      <c r="I20" s="484"/>
      <c r="J20" s="484"/>
      <c r="K20" s="484"/>
      <c r="L20" s="484"/>
      <c r="M20" s="56" t="s">
        <v>26</v>
      </c>
      <c r="N20" s="483"/>
      <c r="O20" s="483"/>
      <c r="P20" s="483"/>
      <c r="Q20" s="483"/>
      <c r="R20" s="483"/>
      <c r="S20" s="483"/>
      <c r="T20" s="483"/>
      <c r="U20" s="57"/>
    </row>
    <row r="21" spans="2:21" ht="31.5" customHeight="1">
      <c r="B21" s="455"/>
      <c r="C21" s="455"/>
      <c r="D21" s="54">
        <v>2</v>
      </c>
      <c r="E21" s="483"/>
      <c r="F21" s="483"/>
      <c r="G21" s="483"/>
      <c r="H21" s="483"/>
      <c r="I21" s="484"/>
      <c r="J21" s="484"/>
      <c r="K21" s="484"/>
      <c r="L21" s="484"/>
      <c r="M21" s="56" t="s">
        <v>26</v>
      </c>
      <c r="N21" s="483"/>
      <c r="O21" s="483"/>
      <c r="P21" s="483"/>
      <c r="Q21" s="483"/>
      <c r="R21" s="483"/>
      <c r="S21" s="483"/>
      <c r="T21" s="483"/>
      <c r="U21" s="57"/>
    </row>
    <row r="22" spans="2:21" ht="31.5" customHeight="1">
      <c r="B22" s="455"/>
      <c r="C22" s="455"/>
      <c r="D22" s="54">
        <v>3</v>
      </c>
      <c r="E22" s="483"/>
      <c r="F22" s="483"/>
      <c r="G22" s="483"/>
      <c r="H22" s="483"/>
      <c r="I22" s="485"/>
      <c r="J22" s="485"/>
      <c r="K22" s="485"/>
      <c r="L22" s="485"/>
      <c r="M22" s="56" t="s">
        <v>26</v>
      </c>
      <c r="N22" s="483"/>
      <c r="O22" s="483"/>
      <c r="P22" s="483"/>
      <c r="Q22" s="483"/>
      <c r="R22" s="483"/>
      <c r="S22" s="483"/>
      <c r="T22" s="483"/>
      <c r="U22" s="57"/>
    </row>
    <row r="23" spans="2:21" ht="19.5" customHeight="1">
      <c r="B23" s="493" t="s">
        <v>102</v>
      </c>
      <c r="C23" s="493"/>
      <c r="D23" s="494" t="s">
        <v>103</v>
      </c>
      <c r="E23" s="459" t="s">
        <v>104</v>
      </c>
      <c r="F23" s="459"/>
      <c r="G23" s="459" t="s">
        <v>105</v>
      </c>
      <c r="H23" s="459"/>
      <c r="I23" s="459" t="s">
        <v>106</v>
      </c>
      <c r="J23" s="459"/>
      <c r="K23" s="459"/>
      <c r="L23" s="467" t="s">
        <v>107</v>
      </c>
      <c r="M23" s="467"/>
      <c r="N23" s="486" t="s">
        <v>108</v>
      </c>
      <c r="O23" s="486"/>
      <c r="P23" s="486"/>
      <c r="Q23" s="486"/>
      <c r="R23" s="486"/>
      <c r="S23" s="486"/>
      <c r="T23" s="486"/>
      <c r="U23" s="51"/>
    </row>
    <row r="24" spans="2:21" ht="19.5" customHeight="1">
      <c r="B24" s="493"/>
      <c r="C24" s="493"/>
      <c r="D24" s="494"/>
      <c r="E24" s="459"/>
      <c r="F24" s="459"/>
      <c r="G24" s="459"/>
      <c r="H24" s="459"/>
      <c r="I24" s="459"/>
      <c r="J24" s="459"/>
      <c r="K24" s="459"/>
      <c r="L24" s="467"/>
      <c r="M24" s="467"/>
      <c r="N24" s="46" t="s">
        <v>109</v>
      </c>
      <c r="O24" s="474" t="s">
        <v>99</v>
      </c>
      <c r="P24" s="474"/>
      <c r="Q24" s="474"/>
      <c r="R24" s="474"/>
      <c r="S24" s="474"/>
      <c r="T24" s="474"/>
      <c r="U24" s="51"/>
    </row>
    <row r="25" spans="2:21" ht="31.5" customHeight="1">
      <c r="B25" s="493"/>
      <c r="C25" s="493"/>
      <c r="D25" s="58" t="s">
        <v>110</v>
      </c>
      <c r="E25" s="483"/>
      <c r="F25" s="483"/>
      <c r="G25" s="483"/>
      <c r="H25" s="483"/>
      <c r="I25" s="487"/>
      <c r="J25" s="487"/>
      <c r="K25" s="487"/>
      <c r="L25" s="483"/>
      <c r="M25" s="483"/>
      <c r="N25" s="55"/>
      <c r="O25" s="488"/>
      <c r="P25" s="488"/>
      <c r="Q25" s="488"/>
      <c r="R25" s="488"/>
      <c r="S25" s="488"/>
      <c r="T25" s="488"/>
      <c r="U25" s="59"/>
    </row>
    <row r="26" spans="2:21" ht="31.5" customHeight="1">
      <c r="B26" s="493"/>
      <c r="C26" s="493"/>
      <c r="D26" s="54" t="s">
        <v>111</v>
      </c>
      <c r="E26" s="483"/>
      <c r="F26" s="483"/>
      <c r="G26" s="483"/>
      <c r="H26" s="483"/>
      <c r="I26" s="487"/>
      <c r="J26" s="487"/>
      <c r="K26" s="487"/>
      <c r="L26" s="483"/>
      <c r="M26" s="483"/>
      <c r="N26" s="55"/>
      <c r="O26" s="488"/>
      <c r="P26" s="488"/>
      <c r="Q26" s="488"/>
      <c r="R26" s="488"/>
      <c r="S26" s="488"/>
      <c r="T26" s="488"/>
      <c r="U26" s="59"/>
    </row>
    <row r="27" spans="2:21" ht="31.5" customHeight="1">
      <c r="B27" s="493"/>
      <c r="C27" s="493"/>
      <c r="D27" s="60" t="s">
        <v>112</v>
      </c>
      <c r="E27" s="490"/>
      <c r="F27" s="490"/>
      <c r="G27" s="490"/>
      <c r="H27" s="490"/>
      <c r="I27" s="491"/>
      <c r="J27" s="491"/>
      <c r="K27" s="491"/>
      <c r="L27" s="490"/>
      <c r="M27" s="490"/>
      <c r="N27" s="61"/>
      <c r="O27" s="492"/>
      <c r="P27" s="492"/>
      <c r="Q27" s="492"/>
      <c r="R27" s="492"/>
      <c r="S27" s="492"/>
      <c r="T27" s="492"/>
      <c r="U27" s="59"/>
    </row>
    <row r="28" spans="2:21" ht="18.75" customHeight="1">
      <c r="B28" s="489" t="s">
        <v>47</v>
      </c>
      <c r="C28" s="489"/>
      <c r="D28" s="489"/>
      <c r="E28" s="489"/>
      <c r="F28" s="489"/>
      <c r="G28" s="489"/>
      <c r="H28" s="489"/>
      <c r="I28" s="489"/>
      <c r="J28" s="489"/>
      <c r="K28" s="489"/>
      <c r="L28" s="489"/>
      <c r="M28" s="489"/>
      <c r="N28" s="489"/>
      <c r="O28" s="489"/>
      <c r="P28" s="489"/>
      <c r="Q28" s="489"/>
      <c r="R28" s="489"/>
      <c r="S28" s="489"/>
      <c r="T28" s="489"/>
      <c r="U28" s="42"/>
    </row>
    <row r="29" spans="2:21" ht="13.5" customHeight="1">
      <c r="B29" s="62"/>
      <c r="C29" s="62"/>
    </row>
    <row r="30" spans="2:21" ht="13.5" customHeight="1">
      <c r="B30" s="63"/>
      <c r="C30" s="63"/>
    </row>
    <row r="31" spans="2:21" ht="13.5" customHeight="1">
      <c r="B31" s="64"/>
      <c r="C31" s="64"/>
    </row>
  </sheetData>
  <mergeCells count="82">
    <mergeCell ref="B28:T28"/>
    <mergeCell ref="L26:M26"/>
    <mergeCell ref="O26:T26"/>
    <mergeCell ref="E27:F27"/>
    <mergeCell ref="G27:H27"/>
    <mergeCell ref="I27:K27"/>
    <mergeCell ref="L27:M27"/>
    <mergeCell ref="O27:T27"/>
    <mergeCell ref="B23:C27"/>
    <mergeCell ref="D23:D24"/>
    <mergeCell ref="E26:F26"/>
    <mergeCell ref="G26:H26"/>
    <mergeCell ref="I26:K26"/>
    <mergeCell ref="L23:M24"/>
    <mergeCell ref="N23:T23"/>
    <mergeCell ref="O24:T24"/>
    <mergeCell ref="E25:F25"/>
    <mergeCell ref="G25:H25"/>
    <mergeCell ref="I25:K25"/>
    <mergeCell ref="L25:M25"/>
    <mergeCell ref="O25:T25"/>
    <mergeCell ref="E23:F24"/>
    <mergeCell ref="G23:H24"/>
    <mergeCell ref="I23:K24"/>
    <mergeCell ref="B19:C22"/>
    <mergeCell ref="E19:H19"/>
    <mergeCell ref="I19:M19"/>
    <mergeCell ref="N19:T19"/>
    <mergeCell ref="E20:H20"/>
    <mergeCell ref="I20:L20"/>
    <mergeCell ref="N20:T20"/>
    <mergeCell ref="E21:H21"/>
    <mergeCell ref="I21:L21"/>
    <mergeCell ref="N21:T21"/>
    <mergeCell ref="E22:H22"/>
    <mergeCell ref="I22:L22"/>
    <mergeCell ref="N22:T22"/>
    <mergeCell ref="B16:C16"/>
    <mergeCell ref="D16:T16"/>
    <mergeCell ref="B17:C17"/>
    <mergeCell ref="D17:T17"/>
    <mergeCell ref="B18:C18"/>
    <mergeCell ref="D18:T18"/>
    <mergeCell ref="J11:N11"/>
    <mergeCell ref="O11:Q11"/>
    <mergeCell ref="R11:T11"/>
    <mergeCell ref="B12:C15"/>
    <mergeCell ref="D12:H12"/>
    <mergeCell ref="I12:T12"/>
    <mergeCell ref="D13:H13"/>
    <mergeCell ref="I13:T15"/>
    <mergeCell ref="D14:E14"/>
    <mergeCell ref="F14:H14"/>
    <mergeCell ref="D15:E15"/>
    <mergeCell ref="F15:H15"/>
    <mergeCell ref="B10:C10"/>
    <mergeCell ref="D10:F10"/>
    <mergeCell ref="G10:I10"/>
    <mergeCell ref="B11:C11"/>
    <mergeCell ref="D11:F11"/>
    <mergeCell ref="G11:I11"/>
    <mergeCell ref="B7:C7"/>
    <mergeCell ref="F7:H7"/>
    <mergeCell ref="I7:M7"/>
    <mergeCell ref="N7:T7"/>
    <mergeCell ref="B8:C9"/>
    <mergeCell ref="D8:H9"/>
    <mergeCell ref="I8:M8"/>
    <mergeCell ref="N8:T8"/>
    <mergeCell ref="I9:M9"/>
    <mergeCell ref="N9:T9"/>
    <mergeCell ref="B5:C6"/>
    <mergeCell ref="D5:H6"/>
    <mergeCell ref="I5:M5"/>
    <mergeCell ref="N5:T5"/>
    <mergeCell ref="I6:M6"/>
    <mergeCell ref="N6:T6"/>
    <mergeCell ref="Q2:T2"/>
    <mergeCell ref="B3:C3"/>
    <mergeCell ref="D3:T3"/>
    <mergeCell ref="B4:C4"/>
    <mergeCell ref="D4:T4"/>
  </mergeCells>
  <phoneticPr fontId="77"/>
  <conditionalFormatting sqref="G10 J10:U10">
    <cfRule type="expression" dxfId="8" priority="2">
      <formula>OR($D$10="その他（種類をご記入ください）",$D$10="")</formula>
    </cfRule>
  </conditionalFormatting>
  <dataValidations count="7">
    <dataValidation allowBlank="1" showInputMessage="1" showErrorMessage="1" sqref="N5:U5 D7 F7:H7 N8:U9 R11:U16" xr:uid="{00000000-0002-0000-0100-000000000000}">
      <formula1>0</formula1>
      <formula2>0</formula2>
    </dataValidation>
    <dataValidation allowBlank="1" showInputMessage="1" showErrorMessage="1" prompt="姓と名の間は全角１字スペースを空けてください。" sqref="N6:U6" xr:uid="{00000000-0002-0000-0100-000001000000}">
      <formula1>0</formula1>
      <formula2>0</formula2>
    </dataValidation>
    <dataValidation allowBlank="1" showInputMessage="1" showErrorMessage="1" prompt="法人格の後に全角スペースを入れてください。_x000a_ex.)一般社団法人　○○、株式会社　△△" sqref="D4:U4" xr:uid="{00000000-0002-0000-0100-000002000000}">
      <formula1>0</formula1>
      <formula2>0</formula2>
    </dataValidation>
    <dataValidation allowBlank="1" showInputMessage="1" showErrorMessage="1" prompt="数字もカタカナ表記としてください。" sqref="D3:U3" xr:uid="{00000000-0002-0000-0100-000003000000}">
      <formula1>0</formula1>
      <formula2>0</formula2>
    </dataValidation>
    <dataValidation allowBlank="1" showInputMessage="1" showErrorMessage="1" prompt="ハイフンを入れた形式で入力してください。_x000a_ex.) 03-3265-7411" sqref="N7:U7" xr:uid="{00000000-0002-0000-0100-000004000000}">
      <formula1>0</formula1>
      <formula2>0</formula2>
    </dataValidation>
    <dataValidation operator="greaterThanOrEqual" allowBlank="1" showInputMessage="1" showErrorMessage="1" sqref="E19:E22 I20:I21 E25:E27 G25:G27 I25:I27 L25:L27" xr:uid="{00000000-0002-0000-0100-000005000000}">
      <formula1>0</formula1>
      <formula2>0</formula2>
    </dataValidation>
    <dataValidation type="list" allowBlank="1" showInputMessage="1" showErrorMessage="1" promptTitle="団体の種類" prompt="選択してください。その他の場合は右のセルに種類を記載ください。" sqref="D10:F10" xr:uid="{00000000-0002-0000-0100-000006000000}">
      <formula1>$W$10:$AF$10</formula1>
      <formula2>0</formula2>
    </dataValidation>
  </dataValidations>
  <hyperlinks>
    <hyperlink ref="N8" r:id="rId1" xr:uid="{00000000-0004-0000-0100-000000000000}"/>
    <hyperlink ref="N9" r:id="rId2" xr:uid="{00000000-0004-0000-0100-000001000000}"/>
  </hyperlinks>
  <pageMargins left="0.70833333333333304" right="0.70833333333333304" top="0.74791666666666701" bottom="0.74791666666666701" header="0.511811023622047" footer="0.511811023622047"/>
  <pageSetup paperSize="9"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B1:U79"/>
  <sheetViews>
    <sheetView zoomScaleNormal="100" workbookViewId="0">
      <selection activeCell="K79" sqref="K79"/>
    </sheetView>
  </sheetViews>
  <sheetFormatPr defaultColWidth="9" defaultRowHeight="14"/>
  <cols>
    <col min="1" max="1" width="2" style="1" customWidth="1"/>
    <col min="2" max="2" width="3.6640625" style="1" customWidth="1"/>
    <col min="3" max="4" width="6.6640625" style="1" customWidth="1"/>
    <col min="5" max="5" width="22.6640625" style="1" customWidth="1"/>
    <col min="6" max="6" width="9.1640625" style="1" customWidth="1"/>
    <col min="7" max="7" width="13.1640625" style="1" customWidth="1"/>
    <col min="8" max="8" width="9.1640625" style="1" customWidth="1"/>
    <col min="9" max="9" width="27.6640625" style="1" customWidth="1"/>
    <col min="10" max="10" width="6.6640625" style="1" customWidth="1"/>
    <col min="11" max="11" width="10" style="1" customWidth="1"/>
    <col min="12" max="16384" width="9" style="1"/>
  </cols>
  <sheetData>
    <row r="1" spans="2:11" ht="18.75" customHeight="1">
      <c r="B1" s="495" t="s">
        <v>113</v>
      </c>
      <c r="C1" s="495"/>
      <c r="D1" s="495"/>
      <c r="E1" s="495"/>
      <c r="F1" s="495"/>
      <c r="G1" s="495"/>
      <c r="H1" s="495"/>
      <c r="I1" s="495"/>
      <c r="J1" s="495"/>
      <c r="K1" s="495"/>
    </row>
    <row r="2" spans="2:11" ht="6" customHeight="1">
      <c r="B2" s="65"/>
      <c r="C2" s="65"/>
      <c r="D2" s="65"/>
      <c r="E2" s="65"/>
      <c r="F2" s="65"/>
      <c r="G2" s="65"/>
      <c r="H2" s="65"/>
      <c r="I2" s="65"/>
      <c r="J2" s="65"/>
      <c r="K2" s="65"/>
    </row>
    <row r="3" spans="2:11" ht="22.5" customHeight="1">
      <c r="B3" s="22" t="s">
        <v>114</v>
      </c>
      <c r="C3" s="62"/>
      <c r="D3" s="62"/>
      <c r="E3" s="62"/>
      <c r="F3" s="62"/>
      <c r="G3" s="62"/>
      <c r="H3" s="62"/>
      <c r="I3" s="62"/>
      <c r="J3" s="62"/>
    </row>
    <row r="4" spans="2:11" ht="22.5" customHeight="1">
      <c r="C4" s="496" t="s">
        <v>115</v>
      </c>
      <c r="D4" s="496"/>
      <c r="E4" s="496"/>
      <c r="F4" s="496"/>
      <c r="G4" s="496"/>
      <c r="H4" s="496"/>
      <c r="I4" s="496"/>
      <c r="J4" s="496"/>
      <c r="K4" s="66" t="s">
        <v>116</v>
      </c>
    </row>
    <row r="5" spans="2:11" ht="22.5" customHeight="1">
      <c r="C5" s="67"/>
      <c r="D5" s="67"/>
      <c r="E5" s="67"/>
      <c r="F5" s="67"/>
      <c r="G5" s="67"/>
      <c r="H5" s="67"/>
      <c r="I5" s="67"/>
      <c r="J5" s="67"/>
    </row>
    <row r="6" spans="2:11" ht="22.5" customHeight="1">
      <c r="B6" s="22" t="s">
        <v>117</v>
      </c>
      <c r="C6" s="67"/>
      <c r="D6" s="67"/>
      <c r="E6" s="67"/>
      <c r="F6" s="67"/>
      <c r="G6" s="67"/>
      <c r="H6" s="67"/>
      <c r="I6" s="67"/>
      <c r="J6" s="67"/>
    </row>
    <row r="7" spans="2:11" ht="22.5" customHeight="1">
      <c r="C7" s="497" t="s">
        <v>118</v>
      </c>
      <c r="D7" s="497"/>
      <c r="E7" s="497"/>
      <c r="F7" s="497"/>
      <c r="G7" s="497"/>
      <c r="H7" s="497"/>
      <c r="I7" s="497"/>
      <c r="J7" s="497"/>
      <c r="K7" s="68" t="s">
        <v>116</v>
      </c>
    </row>
    <row r="8" spans="2:11" ht="22.5" customHeight="1">
      <c r="C8" s="498" t="s">
        <v>119</v>
      </c>
      <c r="D8" s="498"/>
      <c r="E8" s="498"/>
      <c r="F8" s="498"/>
      <c r="G8" s="498"/>
      <c r="H8" s="498"/>
      <c r="I8" s="498"/>
      <c r="J8" s="498"/>
      <c r="K8" s="69" t="s">
        <v>116</v>
      </c>
    </row>
    <row r="9" spans="2:11" ht="22.5" customHeight="1">
      <c r="C9" s="498" t="s">
        <v>120</v>
      </c>
      <c r="D9" s="498"/>
      <c r="E9" s="498"/>
      <c r="F9" s="498"/>
      <c r="G9" s="498"/>
      <c r="H9" s="498"/>
      <c r="I9" s="498"/>
      <c r="J9" s="498"/>
      <c r="K9" s="69" t="s">
        <v>116</v>
      </c>
    </row>
    <row r="10" spans="2:11" ht="22.5" customHeight="1">
      <c r="C10" s="499" t="s">
        <v>121</v>
      </c>
      <c r="D10" s="499"/>
      <c r="E10" s="499"/>
      <c r="F10" s="499"/>
      <c r="G10" s="499"/>
      <c r="H10" s="499"/>
      <c r="I10" s="499"/>
      <c r="J10" s="499"/>
      <c r="K10" s="70" t="s">
        <v>116</v>
      </c>
    </row>
    <row r="11" spans="2:11" ht="3.75" customHeight="1">
      <c r="C11" s="67"/>
      <c r="D11" s="67"/>
      <c r="E11" s="67"/>
      <c r="F11" s="67"/>
      <c r="G11" s="67"/>
      <c r="H11" s="67"/>
      <c r="I11" s="67"/>
      <c r="J11" s="67"/>
    </row>
    <row r="12" spans="2:11" ht="22.5" customHeight="1">
      <c r="C12" s="22" t="s">
        <v>122</v>
      </c>
      <c r="D12" s="67"/>
      <c r="E12" s="67"/>
      <c r="F12" s="67"/>
      <c r="G12" s="67"/>
      <c r="H12" s="67"/>
      <c r="I12" s="67"/>
      <c r="J12" s="67"/>
    </row>
    <row r="13" spans="2:11" ht="22.5" customHeight="1">
      <c r="C13" s="496" t="s">
        <v>123</v>
      </c>
      <c r="D13" s="496"/>
      <c r="E13" s="496"/>
      <c r="F13" s="496"/>
      <c r="G13" s="496"/>
      <c r="H13" s="496"/>
      <c r="I13" s="496"/>
      <c r="J13" s="496"/>
      <c r="K13" s="66" t="s">
        <v>116</v>
      </c>
    </row>
    <row r="14" spans="2:11" ht="22.5" customHeight="1">
      <c r="C14" s="67"/>
      <c r="D14" s="67"/>
      <c r="E14" s="67"/>
      <c r="F14" s="67"/>
      <c r="G14" s="67"/>
      <c r="H14" s="67"/>
      <c r="I14" s="67"/>
      <c r="J14" s="67"/>
    </row>
    <row r="15" spans="2:11" ht="22.5" customHeight="1">
      <c r="B15" s="22" t="s">
        <v>124</v>
      </c>
      <c r="C15" s="67"/>
      <c r="D15" s="67"/>
      <c r="E15" s="67"/>
      <c r="F15" s="67"/>
      <c r="G15" s="67"/>
      <c r="H15" s="67"/>
      <c r="I15" s="67"/>
      <c r="J15" s="67"/>
    </row>
    <row r="16" spans="2:11" ht="22.5" customHeight="1">
      <c r="C16" s="500" t="s">
        <v>125</v>
      </c>
      <c r="D16" s="500"/>
      <c r="E16" s="500"/>
      <c r="F16" s="500"/>
      <c r="G16" s="500"/>
      <c r="H16" s="500"/>
      <c r="I16" s="500"/>
      <c r="J16" s="500"/>
      <c r="K16" s="71" t="s">
        <v>116</v>
      </c>
    </row>
    <row r="17" spans="2:21" ht="22.5" customHeight="1">
      <c r="C17" s="501" t="s">
        <v>126</v>
      </c>
      <c r="D17" s="501"/>
      <c r="E17" s="501"/>
      <c r="F17" s="501"/>
      <c r="G17" s="501"/>
      <c r="H17" s="501"/>
      <c r="I17" s="501"/>
      <c r="J17" s="501"/>
      <c r="K17" s="72" t="s">
        <v>116</v>
      </c>
    </row>
    <row r="18" spans="2:21" ht="22.5" customHeight="1">
      <c r="C18" s="501" t="s">
        <v>127</v>
      </c>
      <c r="D18" s="501"/>
      <c r="E18" s="501"/>
      <c r="F18" s="501"/>
      <c r="G18" s="501"/>
      <c r="H18" s="501"/>
      <c r="I18" s="501"/>
      <c r="J18" s="501"/>
      <c r="K18" s="72" t="s">
        <v>116</v>
      </c>
    </row>
    <row r="19" spans="2:21" ht="22.5" customHeight="1">
      <c r="C19" s="501" t="s">
        <v>128</v>
      </c>
      <c r="D19" s="501"/>
      <c r="E19" s="501"/>
      <c r="F19" s="501"/>
      <c r="G19" s="501"/>
      <c r="H19" s="501"/>
      <c r="I19" s="501"/>
      <c r="J19" s="501"/>
      <c r="K19" s="72" t="s">
        <v>116</v>
      </c>
    </row>
    <row r="20" spans="2:21" ht="22.5" customHeight="1">
      <c r="C20" s="502" t="s">
        <v>129</v>
      </c>
      <c r="D20" s="502"/>
      <c r="E20" s="502"/>
      <c r="F20" s="502"/>
      <c r="G20" s="502"/>
      <c r="H20" s="502"/>
      <c r="I20" s="502"/>
      <c r="J20" s="502"/>
      <c r="K20" s="73" t="s">
        <v>116</v>
      </c>
    </row>
    <row r="21" spans="2:21" ht="22.5" customHeight="1">
      <c r="C21" s="503" t="s">
        <v>130</v>
      </c>
      <c r="D21" s="503"/>
      <c r="E21" s="503"/>
      <c r="F21" s="503"/>
      <c r="G21" s="503"/>
      <c r="H21" s="503"/>
      <c r="I21" s="503"/>
      <c r="J21" s="503"/>
      <c r="K21" s="72" t="s">
        <v>116</v>
      </c>
    </row>
    <row r="22" spans="2:21" ht="22.5" customHeight="1">
      <c r="C22" s="502" t="s">
        <v>131</v>
      </c>
      <c r="D22" s="502"/>
      <c r="E22" s="502"/>
      <c r="F22" s="502"/>
      <c r="G22" s="502"/>
      <c r="H22" s="502"/>
      <c r="I22" s="502"/>
      <c r="J22" s="502"/>
      <c r="K22" s="504" t="s">
        <v>116</v>
      </c>
    </row>
    <row r="23" spans="2:21" ht="36" customHeight="1">
      <c r="C23" s="74"/>
      <c r="D23" s="505" t="s">
        <v>132</v>
      </c>
      <c r="E23" s="505"/>
      <c r="F23" s="505"/>
      <c r="G23" s="505"/>
      <c r="H23" s="505"/>
      <c r="I23" s="505"/>
      <c r="J23" s="505"/>
      <c r="K23" s="504"/>
      <c r="M23" s="506"/>
      <c r="N23" s="506"/>
      <c r="O23" s="506"/>
      <c r="P23" s="506"/>
      <c r="Q23" s="506"/>
      <c r="R23" s="506"/>
      <c r="S23" s="506"/>
      <c r="T23" s="506"/>
      <c r="U23" s="506"/>
    </row>
    <row r="24" spans="2:21" ht="22.5" customHeight="1">
      <c r="C24" s="501" t="s">
        <v>133</v>
      </c>
      <c r="D24" s="501"/>
      <c r="E24" s="501"/>
      <c r="F24" s="501"/>
      <c r="G24" s="501"/>
      <c r="H24" s="501"/>
      <c r="I24" s="501"/>
      <c r="J24" s="501"/>
      <c r="K24" s="72" t="s">
        <v>116</v>
      </c>
    </row>
    <row r="25" spans="2:21" ht="22.5" customHeight="1">
      <c r="C25" s="507" t="s">
        <v>134</v>
      </c>
      <c r="D25" s="507"/>
      <c r="E25" s="507"/>
      <c r="F25" s="507"/>
      <c r="G25" s="507"/>
      <c r="H25" s="507"/>
      <c r="I25" s="507"/>
      <c r="J25" s="507"/>
      <c r="K25" s="75" t="s">
        <v>116</v>
      </c>
    </row>
    <row r="26" spans="2:21" ht="22.5" customHeight="1">
      <c r="C26" s="67"/>
      <c r="D26" s="67"/>
      <c r="E26" s="67"/>
      <c r="F26" s="67"/>
      <c r="G26" s="67"/>
      <c r="H26" s="67"/>
      <c r="I26" s="67"/>
      <c r="J26" s="67"/>
    </row>
    <row r="27" spans="2:21" ht="22.5" customHeight="1">
      <c r="B27" s="37" t="s">
        <v>135</v>
      </c>
    </row>
    <row r="28" spans="2:21" ht="22.5" customHeight="1">
      <c r="B28" s="22" t="s">
        <v>136</v>
      </c>
      <c r="C28" s="67"/>
      <c r="D28" s="67"/>
      <c r="E28" s="67"/>
      <c r="F28" s="67"/>
      <c r="G28" s="67"/>
      <c r="H28" s="67"/>
      <c r="I28" s="67"/>
      <c r="J28" s="67"/>
    </row>
    <row r="29" spans="2:21" ht="22.5" customHeight="1">
      <c r="C29" s="500" t="s">
        <v>137</v>
      </c>
      <c r="D29" s="500"/>
      <c r="E29" s="500"/>
      <c r="F29" s="500"/>
      <c r="G29" s="500"/>
      <c r="H29" s="500"/>
      <c r="I29" s="500"/>
      <c r="J29" s="500"/>
      <c r="K29" s="71" t="s">
        <v>116</v>
      </c>
    </row>
    <row r="30" spans="2:21" ht="22.5" customHeight="1">
      <c r="C30" s="501" t="s">
        <v>138</v>
      </c>
      <c r="D30" s="501"/>
      <c r="E30" s="501"/>
      <c r="F30" s="501"/>
      <c r="G30" s="501"/>
      <c r="H30" s="501"/>
      <c r="I30" s="501"/>
      <c r="J30" s="501"/>
      <c r="K30" s="72" t="s">
        <v>116</v>
      </c>
    </row>
    <row r="31" spans="2:21" ht="22.5" customHeight="1">
      <c r="C31" s="508" t="s">
        <v>139</v>
      </c>
      <c r="D31" s="508"/>
      <c r="E31" s="508"/>
      <c r="F31" s="508"/>
      <c r="G31" s="508"/>
      <c r="H31" s="508"/>
      <c r="I31" s="508"/>
      <c r="J31" s="508"/>
      <c r="K31" s="509" t="s">
        <v>116</v>
      </c>
    </row>
    <row r="32" spans="2:21" ht="36" customHeight="1">
      <c r="C32" s="77"/>
      <c r="D32" s="510" t="s">
        <v>140</v>
      </c>
      <c r="E32" s="510"/>
      <c r="F32" s="510"/>
      <c r="G32" s="510"/>
      <c r="H32" s="510"/>
      <c r="I32" s="510"/>
      <c r="J32" s="510"/>
      <c r="K32" s="509"/>
    </row>
    <row r="33" spans="2:11" ht="22.5" customHeight="1">
      <c r="C33" s="67"/>
      <c r="D33" s="67"/>
      <c r="E33" s="67"/>
      <c r="F33" s="67"/>
      <c r="G33" s="67"/>
      <c r="H33" s="67"/>
      <c r="I33" s="67"/>
      <c r="J33" s="67"/>
    </row>
    <row r="34" spans="2:11" ht="23.25" customHeight="1">
      <c r="B34" s="22" t="s">
        <v>141</v>
      </c>
      <c r="C34" s="67"/>
      <c r="D34" s="67"/>
      <c r="E34" s="67"/>
      <c r="F34" s="67"/>
      <c r="G34" s="67"/>
      <c r="H34" s="67"/>
      <c r="I34" s="67"/>
      <c r="J34" s="67"/>
    </row>
    <row r="35" spans="2:11" ht="22.5" customHeight="1">
      <c r="C35" s="497" t="s">
        <v>142</v>
      </c>
      <c r="D35" s="497"/>
      <c r="E35" s="497"/>
      <c r="F35" s="497"/>
      <c r="G35" s="497"/>
      <c r="H35" s="497"/>
      <c r="I35" s="497"/>
      <c r="J35" s="497"/>
      <c r="K35" s="511" t="s">
        <v>116</v>
      </c>
    </row>
    <row r="36" spans="2:11" ht="22.5" customHeight="1">
      <c r="C36" s="512" t="s">
        <v>143</v>
      </c>
      <c r="D36" s="512"/>
      <c r="E36" s="512"/>
      <c r="F36" s="512"/>
      <c r="G36" s="512"/>
      <c r="H36" s="512"/>
      <c r="I36" s="512"/>
      <c r="J36" s="512"/>
      <c r="K36" s="511"/>
    </row>
    <row r="37" spans="2:11" ht="6" customHeight="1">
      <c r="C37" s="78"/>
      <c r="D37" s="79"/>
      <c r="E37" s="79"/>
      <c r="F37" s="79"/>
      <c r="G37" s="79"/>
      <c r="H37" s="79"/>
      <c r="I37" s="79"/>
      <c r="J37" s="80"/>
      <c r="K37" s="511"/>
    </row>
    <row r="38" spans="2:11" ht="22.5" customHeight="1">
      <c r="C38" s="81"/>
      <c r="D38" s="513" t="s">
        <v>144</v>
      </c>
      <c r="E38" s="513"/>
      <c r="F38" s="513"/>
      <c r="G38" s="513"/>
      <c r="H38" s="513"/>
      <c r="I38" s="513"/>
      <c r="J38" s="513"/>
      <c r="K38" s="511"/>
    </row>
    <row r="39" spans="2:11" ht="22.5" customHeight="1">
      <c r="C39" s="78"/>
      <c r="D39" s="513" t="s">
        <v>145</v>
      </c>
      <c r="E39" s="513"/>
      <c r="F39" s="513"/>
      <c r="G39" s="513"/>
      <c r="H39" s="513"/>
      <c r="I39" s="513"/>
      <c r="J39" s="513"/>
      <c r="K39" s="511"/>
    </row>
    <row r="40" spans="2:11" ht="22.5" customHeight="1">
      <c r="C40" s="78"/>
      <c r="D40" s="513" t="s">
        <v>146</v>
      </c>
      <c r="E40" s="513"/>
      <c r="F40" s="513"/>
      <c r="G40" s="513"/>
      <c r="H40" s="513"/>
      <c r="I40" s="513"/>
      <c r="J40" s="513"/>
      <c r="K40" s="511"/>
    </row>
    <row r="41" spans="2:11" ht="6" customHeight="1">
      <c r="C41" s="78"/>
      <c r="D41" s="82"/>
      <c r="E41" s="82"/>
      <c r="F41" s="82"/>
      <c r="G41" s="82"/>
      <c r="H41" s="82"/>
      <c r="I41" s="82"/>
      <c r="J41" s="83"/>
      <c r="K41" s="511"/>
    </row>
    <row r="42" spans="2:11" ht="22.5" customHeight="1">
      <c r="C42" s="507" t="s">
        <v>147</v>
      </c>
      <c r="D42" s="507"/>
      <c r="E42" s="507"/>
      <c r="F42" s="507"/>
      <c r="G42" s="507"/>
      <c r="H42" s="507"/>
      <c r="I42" s="507"/>
      <c r="J42" s="507"/>
      <c r="K42" s="76" t="s">
        <v>116</v>
      </c>
    </row>
    <row r="43" spans="2:11" ht="22.5" customHeight="1">
      <c r="C43" s="67"/>
      <c r="D43" s="67"/>
      <c r="E43" s="67"/>
      <c r="F43" s="67"/>
      <c r="G43" s="67"/>
      <c r="H43" s="67"/>
      <c r="I43" s="67"/>
      <c r="J43" s="67"/>
    </row>
    <row r="44" spans="2:11" ht="22.5" customHeight="1">
      <c r="B44" s="37" t="s">
        <v>148</v>
      </c>
    </row>
    <row r="45" spans="2:11" ht="22.5" customHeight="1">
      <c r="B45" s="22" t="s">
        <v>149</v>
      </c>
      <c r="C45" s="67"/>
      <c r="D45" s="67"/>
      <c r="E45" s="67"/>
      <c r="F45" s="67"/>
      <c r="G45" s="67"/>
      <c r="H45" s="67"/>
      <c r="I45" s="67"/>
      <c r="J45" s="67"/>
    </row>
    <row r="46" spans="2:11" ht="22.5" customHeight="1">
      <c r="C46" s="514" t="s">
        <v>150</v>
      </c>
      <c r="D46" s="514"/>
      <c r="E46" s="514"/>
      <c r="F46" s="514"/>
      <c r="G46" s="514"/>
      <c r="H46" s="514"/>
      <c r="I46" s="514"/>
      <c r="J46" s="514"/>
      <c r="K46" s="68" t="s">
        <v>116</v>
      </c>
    </row>
    <row r="47" spans="2:11" ht="22.5" customHeight="1">
      <c r="C47" s="502" t="s">
        <v>151</v>
      </c>
      <c r="D47" s="502"/>
      <c r="E47" s="502"/>
      <c r="F47" s="502"/>
      <c r="G47" s="502"/>
      <c r="H47" s="502"/>
      <c r="I47" s="502"/>
      <c r="J47" s="502"/>
      <c r="K47" s="73" t="s">
        <v>116</v>
      </c>
    </row>
    <row r="48" spans="2:11" ht="22.5" customHeight="1">
      <c r="C48" s="502" t="s">
        <v>152</v>
      </c>
      <c r="D48" s="502"/>
      <c r="E48" s="502"/>
      <c r="F48" s="502"/>
      <c r="G48" s="502"/>
      <c r="H48" s="502"/>
      <c r="I48" s="502"/>
      <c r="J48" s="502"/>
      <c r="K48" s="73" t="s">
        <v>116</v>
      </c>
    </row>
    <row r="49" spans="2:11" ht="22.5" customHeight="1">
      <c r="C49" s="502" t="s">
        <v>153</v>
      </c>
      <c r="D49" s="502"/>
      <c r="E49" s="502"/>
      <c r="F49" s="502"/>
      <c r="G49" s="502"/>
      <c r="H49" s="502"/>
      <c r="I49" s="502"/>
      <c r="J49" s="502"/>
      <c r="K49" s="73" t="s">
        <v>116</v>
      </c>
    </row>
    <row r="50" spans="2:11" ht="22.5" customHeight="1">
      <c r="C50" s="508" t="s">
        <v>154</v>
      </c>
      <c r="D50" s="508"/>
      <c r="E50" s="508"/>
      <c r="F50" s="508"/>
      <c r="G50" s="508"/>
      <c r="H50" s="508"/>
      <c r="I50" s="508"/>
      <c r="J50" s="508"/>
      <c r="K50" s="504" t="s">
        <v>116</v>
      </c>
    </row>
    <row r="51" spans="2:11" ht="22.5" customHeight="1">
      <c r="C51" s="515" t="s">
        <v>155</v>
      </c>
      <c r="D51" s="515"/>
      <c r="E51" s="515"/>
      <c r="F51" s="515"/>
      <c r="G51" s="515"/>
      <c r="H51" s="515"/>
      <c r="I51" s="515"/>
      <c r="J51" s="515"/>
      <c r="K51" s="504"/>
    </row>
    <row r="52" spans="2:11" ht="22.5" customHeight="1">
      <c r="C52" s="508" t="s">
        <v>156</v>
      </c>
      <c r="D52" s="508"/>
      <c r="E52" s="508"/>
      <c r="F52" s="508"/>
      <c r="G52" s="508"/>
      <c r="H52" s="508"/>
      <c r="I52" s="508"/>
      <c r="J52" s="508"/>
      <c r="K52" s="509" t="s">
        <v>116</v>
      </c>
    </row>
    <row r="53" spans="2:11" ht="22.5" customHeight="1">
      <c r="C53" s="516" t="s">
        <v>155</v>
      </c>
      <c r="D53" s="516"/>
      <c r="E53" s="516"/>
      <c r="F53" s="516"/>
      <c r="G53" s="516"/>
      <c r="H53" s="516"/>
      <c r="I53" s="516"/>
      <c r="J53" s="516"/>
      <c r="K53" s="509"/>
    </row>
    <row r="54" spans="2:11" ht="22.5" customHeight="1">
      <c r="C54" s="67"/>
      <c r="D54" s="67"/>
      <c r="E54" s="67"/>
      <c r="F54" s="67"/>
      <c r="G54" s="67"/>
      <c r="H54" s="67"/>
      <c r="I54" s="67"/>
      <c r="J54" s="67"/>
    </row>
    <row r="55" spans="2:11" ht="22.5" customHeight="1">
      <c r="B55" s="22" t="s">
        <v>157</v>
      </c>
      <c r="C55" s="67"/>
      <c r="D55" s="67"/>
      <c r="E55" s="67"/>
    </row>
    <row r="56" spans="2:11" ht="22.5" customHeight="1">
      <c r="C56" s="517" t="s">
        <v>158</v>
      </c>
      <c r="D56" s="517"/>
      <c r="E56" s="517"/>
      <c r="F56" s="517"/>
      <c r="G56" s="517"/>
      <c r="H56" s="517"/>
      <c r="I56" s="517"/>
      <c r="J56" s="517"/>
      <c r="K56" s="517"/>
    </row>
    <row r="57" spans="2:11" ht="22.5" customHeight="1">
      <c r="C57" s="500" t="s">
        <v>159</v>
      </c>
      <c r="D57" s="500"/>
      <c r="E57" s="500"/>
      <c r="F57" s="500"/>
      <c r="G57" s="500"/>
      <c r="H57" s="500"/>
      <c r="I57" s="500"/>
      <c r="J57" s="500"/>
      <c r="K57" s="84" t="s">
        <v>116</v>
      </c>
    </row>
    <row r="58" spans="2:11" ht="30" customHeight="1">
      <c r="C58" s="507" t="s">
        <v>160</v>
      </c>
      <c r="D58" s="507"/>
      <c r="E58" s="507"/>
      <c r="F58" s="518"/>
      <c r="G58" s="518"/>
      <c r="H58" s="518"/>
      <c r="I58" s="518"/>
      <c r="J58" s="518"/>
      <c r="K58" s="518"/>
    </row>
    <row r="59" spans="2:11" ht="30" customHeight="1">
      <c r="C59" s="519" t="s">
        <v>161</v>
      </c>
      <c r="D59" s="519"/>
      <c r="E59" s="519"/>
      <c r="F59" s="519"/>
      <c r="G59" s="519"/>
      <c r="H59" s="519"/>
      <c r="I59" s="519"/>
      <c r="J59" s="519"/>
      <c r="K59" s="519"/>
    </row>
    <row r="60" spans="2:11" ht="30" customHeight="1">
      <c r="C60" s="500" t="s">
        <v>162</v>
      </c>
      <c r="D60" s="500"/>
      <c r="E60" s="500"/>
      <c r="F60" s="500"/>
      <c r="G60" s="500"/>
      <c r="H60" s="500"/>
      <c r="I60" s="500"/>
      <c r="J60" s="500"/>
      <c r="K60" s="84" t="s">
        <v>116</v>
      </c>
    </row>
    <row r="61" spans="2:11" ht="30" customHeight="1">
      <c r="C61" s="507" t="s">
        <v>160</v>
      </c>
      <c r="D61" s="507"/>
      <c r="E61" s="507"/>
      <c r="F61" s="518"/>
      <c r="G61" s="518"/>
      <c r="H61" s="518"/>
      <c r="I61" s="518"/>
      <c r="J61" s="518"/>
      <c r="K61" s="518"/>
    </row>
    <row r="62" spans="2:11" ht="22.5" customHeight="1">
      <c r="C62" s="16" t="s">
        <v>163</v>
      </c>
      <c r="D62" s="62"/>
      <c r="E62" s="62"/>
      <c r="F62" s="62"/>
      <c r="G62" s="62"/>
      <c r="H62" s="62"/>
      <c r="I62" s="62"/>
      <c r="J62" s="62"/>
    </row>
    <row r="63" spans="2:11" ht="30" customHeight="1">
      <c r="C63" s="520" t="s">
        <v>164</v>
      </c>
      <c r="D63" s="520"/>
      <c r="E63" s="520"/>
      <c r="F63" s="520"/>
      <c r="G63" s="520"/>
      <c r="H63" s="520"/>
      <c r="I63" s="520"/>
      <c r="J63" s="520"/>
      <c r="K63" s="68" t="s">
        <v>116</v>
      </c>
    </row>
    <row r="64" spans="2:11" ht="22.5" customHeight="1">
      <c r="C64" s="521" t="s">
        <v>165</v>
      </c>
      <c r="D64" s="521"/>
      <c r="E64" s="521"/>
      <c r="F64" s="521"/>
      <c r="G64" s="521"/>
      <c r="H64" s="521"/>
      <c r="I64" s="521"/>
      <c r="J64" s="521"/>
      <c r="K64" s="72" t="s">
        <v>116</v>
      </c>
    </row>
    <row r="65" spans="2:11" ht="30" customHeight="1">
      <c r="C65" s="522" t="s">
        <v>160</v>
      </c>
      <c r="D65" s="522"/>
      <c r="E65" s="522"/>
      <c r="F65" s="523"/>
      <c r="G65" s="523"/>
      <c r="H65" s="523"/>
      <c r="I65" s="523"/>
      <c r="J65" s="523"/>
      <c r="K65" s="523"/>
    </row>
    <row r="66" spans="2:11" ht="22.5" customHeight="1">
      <c r="C66" s="519" t="s">
        <v>166</v>
      </c>
      <c r="D66" s="519"/>
      <c r="E66" s="519"/>
      <c r="F66" s="519"/>
      <c r="G66" s="519"/>
      <c r="H66" s="519"/>
      <c r="I66" s="519"/>
      <c r="J66" s="519"/>
      <c r="K66" s="519"/>
    </row>
    <row r="67" spans="2:11" ht="22.5" customHeight="1">
      <c r="C67" s="514" t="s">
        <v>167</v>
      </c>
      <c r="D67" s="514"/>
      <c r="E67" s="514"/>
      <c r="F67" s="514"/>
      <c r="G67" s="514"/>
      <c r="H67" s="514"/>
      <c r="I67" s="514"/>
      <c r="J67" s="514"/>
      <c r="K67" s="68" t="s">
        <v>116</v>
      </c>
    </row>
    <row r="68" spans="2:11" ht="22.5" customHeight="1">
      <c r="C68" s="508" t="s">
        <v>168</v>
      </c>
      <c r="D68" s="508"/>
      <c r="E68" s="508"/>
      <c r="F68" s="508"/>
      <c r="G68" s="508"/>
      <c r="H68" s="508"/>
      <c r="I68" s="508"/>
      <c r="J68" s="508"/>
      <c r="K68" s="72" t="s">
        <v>116</v>
      </c>
    </row>
    <row r="69" spans="2:11" ht="22.5" customHeight="1">
      <c r="C69" s="508" t="s">
        <v>169</v>
      </c>
      <c r="D69" s="508"/>
      <c r="E69" s="508"/>
      <c r="F69" s="508"/>
      <c r="G69" s="508"/>
      <c r="H69" s="508"/>
      <c r="I69" s="508"/>
      <c r="J69" s="508"/>
      <c r="K69" s="72" t="s">
        <v>116</v>
      </c>
    </row>
    <row r="70" spans="2:11" ht="22.5" customHeight="1">
      <c r="C70" s="501" t="s">
        <v>170</v>
      </c>
      <c r="D70" s="501"/>
      <c r="E70" s="501"/>
      <c r="F70" s="501"/>
      <c r="G70" s="501"/>
      <c r="H70" s="501"/>
      <c r="I70" s="501"/>
      <c r="J70" s="501"/>
      <c r="K70" s="72" t="s">
        <v>116</v>
      </c>
    </row>
    <row r="71" spans="2:11" ht="30" customHeight="1">
      <c r="C71" s="522" t="s">
        <v>160</v>
      </c>
      <c r="D71" s="522"/>
      <c r="E71" s="522"/>
      <c r="F71" s="523"/>
      <c r="G71" s="523"/>
      <c r="H71" s="523"/>
      <c r="I71" s="523"/>
      <c r="J71" s="523"/>
      <c r="K71" s="523"/>
    </row>
    <row r="72" spans="2:11" ht="22.5" customHeight="1">
      <c r="C72" s="67"/>
      <c r="D72" s="67"/>
      <c r="E72" s="67"/>
    </row>
    <row r="73" spans="2:11" ht="22.5" customHeight="1">
      <c r="B73" s="37" t="s">
        <v>171</v>
      </c>
    </row>
    <row r="74" spans="2:11" ht="22.5" customHeight="1">
      <c r="B74" s="22" t="s">
        <v>172</v>
      </c>
      <c r="C74" s="67"/>
      <c r="D74" s="67"/>
      <c r="E74" s="67"/>
      <c r="F74" s="67"/>
      <c r="G74" s="67"/>
      <c r="H74" s="67"/>
      <c r="I74" s="67"/>
      <c r="J74" s="67"/>
    </row>
    <row r="75" spans="2:11" ht="22.5" customHeight="1">
      <c r="C75" s="500" t="s">
        <v>173</v>
      </c>
      <c r="D75" s="500"/>
      <c r="E75" s="500"/>
      <c r="F75" s="500"/>
      <c r="G75" s="500"/>
      <c r="H75" s="500"/>
      <c r="I75" s="500"/>
      <c r="J75" s="500"/>
      <c r="K75" s="71" t="s">
        <v>174</v>
      </c>
    </row>
    <row r="76" spans="2:11" ht="42" customHeight="1">
      <c r="C76" s="501" t="s">
        <v>175</v>
      </c>
      <c r="D76" s="501"/>
      <c r="E76" s="501"/>
      <c r="F76" s="501"/>
      <c r="G76" s="501"/>
      <c r="H76" s="501"/>
      <c r="I76" s="501"/>
      <c r="J76" s="501"/>
      <c r="K76" s="72" t="s">
        <v>174</v>
      </c>
    </row>
    <row r="77" spans="2:11" ht="42" customHeight="1">
      <c r="C77" s="501" t="s">
        <v>176</v>
      </c>
      <c r="D77" s="501"/>
      <c r="E77" s="501"/>
      <c r="F77" s="501"/>
      <c r="G77" s="501"/>
      <c r="H77" s="501"/>
      <c r="I77" s="501"/>
      <c r="J77" s="501"/>
      <c r="K77" s="73" t="s">
        <v>174</v>
      </c>
    </row>
    <row r="78" spans="2:11" ht="22.5" customHeight="1">
      <c r="C78" s="508" t="s">
        <v>177</v>
      </c>
      <c r="D78" s="508"/>
      <c r="E78" s="508"/>
      <c r="F78" s="508"/>
      <c r="G78" s="508"/>
      <c r="H78" s="508"/>
      <c r="I78" s="508"/>
      <c r="J78" s="508"/>
      <c r="K78" s="72" t="s">
        <v>174</v>
      </c>
    </row>
    <row r="79" spans="2:11" ht="42" customHeight="1">
      <c r="C79" s="524" t="s">
        <v>178</v>
      </c>
      <c r="D79" s="524"/>
      <c r="E79" s="524"/>
      <c r="F79" s="524"/>
      <c r="G79" s="524"/>
      <c r="H79" s="524"/>
      <c r="I79" s="524"/>
      <c r="J79" s="524"/>
      <c r="K79" s="75" t="s">
        <v>174</v>
      </c>
    </row>
  </sheetData>
  <mergeCells count="65">
    <mergeCell ref="C76:J76"/>
    <mergeCell ref="C77:J77"/>
    <mergeCell ref="C78:J78"/>
    <mergeCell ref="C79:J79"/>
    <mergeCell ref="C69:J69"/>
    <mergeCell ref="C70:J70"/>
    <mergeCell ref="C71:E71"/>
    <mergeCell ref="F71:K71"/>
    <mergeCell ref="C75:J75"/>
    <mergeCell ref="C65:E65"/>
    <mergeCell ref="F65:K65"/>
    <mergeCell ref="C66:K66"/>
    <mergeCell ref="C67:J67"/>
    <mergeCell ref="C68:J68"/>
    <mergeCell ref="C60:J60"/>
    <mergeCell ref="C61:E61"/>
    <mergeCell ref="F61:K61"/>
    <mergeCell ref="C63:J63"/>
    <mergeCell ref="C64:J64"/>
    <mergeCell ref="C56:K56"/>
    <mergeCell ref="C57:J57"/>
    <mergeCell ref="C58:E58"/>
    <mergeCell ref="F58:K58"/>
    <mergeCell ref="C59:K59"/>
    <mergeCell ref="C50:J50"/>
    <mergeCell ref="K50:K51"/>
    <mergeCell ref="C51:J51"/>
    <mergeCell ref="C52:J52"/>
    <mergeCell ref="K52:K53"/>
    <mergeCell ref="C53:J53"/>
    <mergeCell ref="C42:J42"/>
    <mergeCell ref="C46:J46"/>
    <mergeCell ref="C47:J47"/>
    <mergeCell ref="C48:J48"/>
    <mergeCell ref="C49:J49"/>
    <mergeCell ref="C31:J31"/>
    <mergeCell ref="K31:K32"/>
    <mergeCell ref="D32:J32"/>
    <mergeCell ref="C35:J35"/>
    <mergeCell ref="K35:K41"/>
    <mergeCell ref="C36:J36"/>
    <mergeCell ref="D38:J38"/>
    <mergeCell ref="D39:J39"/>
    <mergeCell ref="D40:J40"/>
    <mergeCell ref="M23:U23"/>
    <mergeCell ref="C24:J24"/>
    <mergeCell ref="C25:J25"/>
    <mergeCell ref="C29:J29"/>
    <mergeCell ref="C30:J30"/>
    <mergeCell ref="C19:J19"/>
    <mergeCell ref="C20:J20"/>
    <mergeCell ref="C21:J21"/>
    <mergeCell ref="C22:J22"/>
    <mergeCell ref="K22:K23"/>
    <mergeCell ref="D23:J23"/>
    <mergeCell ref="C10:J10"/>
    <mergeCell ref="C13:J13"/>
    <mergeCell ref="C16:J16"/>
    <mergeCell ref="C17:J17"/>
    <mergeCell ref="C18:J18"/>
    <mergeCell ref="B1:K1"/>
    <mergeCell ref="C4:J4"/>
    <mergeCell ref="C7:J7"/>
    <mergeCell ref="C8:J8"/>
    <mergeCell ref="C9:J9"/>
  </mergeCells>
  <phoneticPr fontId="77"/>
  <dataValidations count="3">
    <dataValidation type="list" allowBlank="1" showInputMessage="1" showErrorMessage="1" sqref="K75:K79" xr:uid="{00000000-0002-0000-0200-000000000000}">
      <formula1>"該当しない,該当する"</formula1>
      <formula2>0</formula2>
    </dataValidation>
    <dataValidation type="list" allowBlank="1" showInputMessage="1" showErrorMessage="1" sqref="K4 K7:K10 K13 K16:K22 K24:K25 K29:K31 K35 K42 K46:K49 K57 K60 K63:K64 K67:K70" xr:uid="{00000000-0002-0000-0200-000001000000}">
      <formula1>"はい,いいえ"</formula1>
      <formula2>0</formula2>
    </dataValidation>
    <dataValidation type="list" allowBlank="1" showInputMessage="1" showErrorMessage="1" sqref="K50:K53" xr:uid="{00000000-0002-0000-0200-000002000000}">
      <formula1>"はい,いいえ,なし"</formula1>
      <formula2>0</formula2>
    </dataValidation>
  </dataValidations>
  <pageMargins left="0.70833333333333304" right="0.70833333333333304" top="0.74791666666666701" bottom="0.74791666666666701" header="0.511811023622047" footer="0.511811023622047"/>
  <pageSetup paperSize="9" fitToHeight="0" orientation="portrait" horizontalDpi="300" verticalDpi="300"/>
  <rowBreaks count="1" manualBreakCount="1">
    <brk id="42"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B1:T24"/>
  <sheetViews>
    <sheetView tabSelected="1" topLeftCell="A15" zoomScaleNormal="100" workbookViewId="0">
      <selection activeCell="M20" sqref="M20"/>
    </sheetView>
  </sheetViews>
  <sheetFormatPr defaultColWidth="9" defaultRowHeight="14"/>
  <cols>
    <col min="1" max="1" width="1.6640625" style="1" customWidth="1"/>
    <col min="2" max="2" width="7" style="1" customWidth="1"/>
    <col min="3" max="10" width="13.5" style="1" customWidth="1"/>
    <col min="11" max="11" width="1.6640625" style="1" customWidth="1"/>
    <col min="12" max="16384" width="9" style="1"/>
  </cols>
  <sheetData>
    <row r="1" spans="2:12" ht="19.5" customHeight="1">
      <c r="B1" s="525" t="s">
        <v>179</v>
      </c>
      <c r="C1" s="525"/>
      <c r="D1" s="525"/>
      <c r="E1" s="525"/>
      <c r="F1" s="525"/>
      <c r="G1" s="525"/>
      <c r="H1" s="525"/>
      <c r="I1" s="525"/>
      <c r="J1" s="525"/>
      <c r="K1" s="16"/>
    </row>
    <row r="2" spans="2:12" ht="3.75" customHeight="1">
      <c r="C2" s="16"/>
      <c r="D2" s="16"/>
      <c r="E2" s="16"/>
      <c r="F2" s="16"/>
      <c r="G2" s="16"/>
      <c r="H2" s="16"/>
      <c r="I2" s="16"/>
      <c r="J2" s="16"/>
      <c r="K2" s="16"/>
    </row>
    <row r="3" spans="2:12" ht="18" customHeight="1">
      <c r="B3" s="526" t="s">
        <v>180</v>
      </c>
      <c r="C3" s="526"/>
      <c r="D3" s="526"/>
      <c r="E3" s="526"/>
      <c r="F3" s="526"/>
      <c r="G3" s="526"/>
      <c r="H3" s="526"/>
      <c r="I3" s="526"/>
      <c r="J3" s="526"/>
      <c r="K3" s="42"/>
    </row>
    <row r="4" spans="2:12" ht="126" customHeight="1">
      <c r="B4" s="527" t="s">
        <v>181</v>
      </c>
      <c r="C4" s="527"/>
      <c r="D4" s="527"/>
      <c r="E4" s="527"/>
      <c r="F4" s="527"/>
      <c r="G4" s="527"/>
      <c r="H4" s="527"/>
      <c r="I4" s="527"/>
      <c r="J4" s="527"/>
      <c r="K4" s="16"/>
      <c r="L4" s="85" t="s">
        <v>182</v>
      </c>
    </row>
    <row r="5" spans="2:12" ht="6" customHeight="1">
      <c r="B5" s="86"/>
      <c r="C5" s="87"/>
      <c r="D5" s="87"/>
      <c r="E5" s="87"/>
      <c r="F5" s="87"/>
      <c r="G5" s="87"/>
      <c r="H5" s="16"/>
      <c r="I5" s="16"/>
      <c r="J5" s="16"/>
      <c r="K5" s="16"/>
    </row>
    <row r="6" spans="2:12" ht="33" customHeight="1">
      <c r="B6" s="528" t="s">
        <v>183</v>
      </c>
      <c r="C6" s="528"/>
      <c r="D6" s="528"/>
      <c r="E6" s="528"/>
      <c r="F6" s="528"/>
      <c r="G6" s="528"/>
      <c r="H6" s="528"/>
      <c r="I6" s="528"/>
      <c r="J6" s="528"/>
      <c r="K6" s="16"/>
    </row>
    <row r="7" spans="2:12" ht="124.5" customHeight="1">
      <c r="B7" s="527" t="s">
        <v>184</v>
      </c>
      <c r="C7" s="527"/>
      <c r="D7" s="527"/>
      <c r="E7" s="527"/>
      <c r="F7" s="527"/>
      <c r="G7" s="527"/>
      <c r="H7" s="527"/>
      <c r="I7" s="527"/>
      <c r="J7" s="527"/>
      <c r="K7" s="16"/>
      <c r="L7" s="85" t="s">
        <v>182</v>
      </c>
    </row>
    <row r="8" spans="2:12" ht="5.25" customHeight="1">
      <c r="C8" s="16"/>
      <c r="D8" s="16"/>
      <c r="E8" s="16"/>
      <c r="F8" s="16"/>
      <c r="G8" s="16"/>
      <c r="H8" s="16"/>
      <c r="I8" s="16"/>
      <c r="J8" s="16"/>
      <c r="K8" s="16"/>
    </row>
    <row r="9" spans="2:12" ht="18.75" customHeight="1">
      <c r="B9" s="525" t="s">
        <v>185</v>
      </c>
      <c r="C9" s="525"/>
      <c r="D9" s="525"/>
      <c r="E9" s="525"/>
      <c r="F9" s="525"/>
      <c r="G9" s="525"/>
      <c r="H9" s="525"/>
      <c r="I9" s="525"/>
      <c r="J9" s="525"/>
      <c r="K9" s="16"/>
    </row>
    <row r="10" spans="2:12" ht="3.75" customHeight="1">
      <c r="C10" s="16"/>
      <c r="D10" s="16"/>
      <c r="E10" s="16"/>
      <c r="F10" s="16"/>
      <c r="G10" s="16"/>
      <c r="H10" s="16"/>
      <c r="I10" s="16"/>
      <c r="J10" s="16"/>
      <c r="K10" s="88"/>
    </row>
    <row r="11" spans="2:12" ht="62.25" customHeight="1">
      <c r="B11" s="529" t="s">
        <v>186</v>
      </c>
      <c r="C11" s="529"/>
      <c r="D11" s="529"/>
      <c r="E11" s="529"/>
      <c r="F11" s="529"/>
      <c r="G11" s="529"/>
      <c r="H11" s="529"/>
      <c r="I11" s="529"/>
      <c r="J11" s="529"/>
      <c r="K11" s="89"/>
    </row>
    <row r="12" spans="2:12" ht="19.5" customHeight="1">
      <c r="B12" s="530" t="s">
        <v>187</v>
      </c>
      <c r="C12" s="530"/>
      <c r="D12" s="90" t="s">
        <v>188</v>
      </c>
      <c r="E12" s="531" t="s">
        <v>189</v>
      </c>
      <c r="F12" s="531"/>
      <c r="G12" s="90" t="s">
        <v>188</v>
      </c>
      <c r="H12" s="532" t="s">
        <v>190</v>
      </c>
      <c r="I12" s="532"/>
      <c r="J12" s="532"/>
      <c r="K12" s="89"/>
    </row>
    <row r="13" spans="2:12" ht="19.5" customHeight="1">
      <c r="B13" s="530"/>
      <c r="C13" s="530"/>
      <c r="D13" s="90" t="s">
        <v>188</v>
      </c>
      <c r="E13" s="531" t="s">
        <v>191</v>
      </c>
      <c r="F13" s="531"/>
      <c r="G13" s="90" t="s">
        <v>188</v>
      </c>
      <c r="H13" s="533" t="s">
        <v>192</v>
      </c>
      <c r="I13" s="533"/>
      <c r="J13" s="533"/>
      <c r="K13" s="89"/>
    </row>
    <row r="14" spans="2:12" ht="123" customHeight="1">
      <c r="B14" s="534" t="s">
        <v>193</v>
      </c>
      <c r="C14" s="534"/>
      <c r="D14" s="534"/>
      <c r="E14" s="534"/>
      <c r="F14" s="534"/>
      <c r="G14" s="534"/>
      <c r="H14" s="534"/>
      <c r="I14" s="534"/>
      <c r="J14" s="534"/>
      <c r="K14" s="91"/>
      <c r="L14" s="85" t="s">
        <v>182</v>
      </c>
    </row>
    <row r="15" spans="2:12" ht="6" customHeight="1">
      <c r="C15" s="16"/>
      <c r="D15" s="16"/>
      <c r="E15" s="16"/>
      <c r="F15" s="16"/>
      <c r="G15" s="16"/>
      <c r="H15" s="16"/>
      <c r="I15" s="16"/>
      <c r="J15" s="16"/>
      <c r="K15" s="16"/>
    </row>
    <row r="16" spans="2:12" ht="31.5" customHeight="1">
      <c r="B16" s="529" t="s">
        <v>194</v>
      </c>
      <c r="C16" s="529"/>
      <c r="D16" s="529"/>
      <c r="E16" s="529"/>
      <c r="F16" s="529"/>
      <c r="G16" s="529"/>
      <c r="H16" s="529"/>
      <c r="I16" s="529"/>
      <c r="J16" s="529"/>
      <c r="K16" s="89"/>
    </row>
    <row r="17" spans="2:20" ht="124.5" customHeight="1">
      <c r="B17" s="534" t="s">
        <v>763</v>
      </c>
      <c r="C17" s="534"/>
      <c r="D17" s="534"/>
      <c r="E17" s="534"/>
      <c r="F17" s="534"/>
      <c r="G17" s="534"/>
      <c r="H17" s="534"/>
      <c r="I17" s="534"/>
      <c r="J17" s="534"/>
      <c r="K17" s="91"/>
      <c r="L17" s="85" t="s">
        <v>182</v>
      </c>
    </row>
    <row r="18" spans="2:20" ht="5.25" customHeight="1">
      <c r="C18" s="16"/>
      <c r="D18" s="16"/>
      <c r="E18" s="16"/>
      <c r="F18" s="16"/>
      <c r="G18" s="16"/>
      <c r="H18" s="16"/>
      <c r="I18" s="16"/>
      <c r="J18" s="16"/>
      <c r="K18" s="16"/>
    </row>
    <row r="19" spans="2:20" ht="47.25" customHeight="1">
      <c r="B19" s="529" t="s">
        <v>195</v>
      </c>
      <c r="C19" s="529"/>
      <c r="D19" s="529"/>
      <c r="E19" s="529"/>
      <c r="F19" s="529"/>
      <c r="G19" s="529"/>
      <c r="H19" s="529"/>
      <c r="I19" s="529"/>
      <c r="J19" s="529"/>
      <c r="K19" s="91"/>
    </row>
    <row r="20" spans="2:20" ht="125.25" customHeight="1">
      <c r="B20" s="534" t="s">
        <v>762</v>
      </c>
      <c r="C20" s="534"/>
      <c r="D20" s="534"/>
      <c r="E20" s="534"/>
      <c r="F20" s="534"/>
      <c r="G20" s="534"/>
      <c r="H20" s="534"/>
      <c r="I20" s="534"/>
      <c r="J20" s="534"/>
      <c r="K20" s="91"/>
      <c r="L20" s="85" t="s">
        <v>182</v>
      </c>
    </row>
    <row r="21" spans="2:20" ht="5.25" customHeight="1">
      <c r="C21" s="16"/>
      <c r="D21" s="16"/>
      <c r="E21" s="16"/>
      <c r="F21" s="16"/>
      <c r="G21" s="16"/>
      <c r="H21" s="16"/>
      <c r="I21" s="16"/>
      <c r="J21" s="16"/>
      <c r="K21" s="16"/>
    </row>
    <row r="22" spans="2:20" ht="33" customHeight="1">
      <c r="B22" s="529" t="s">
        <v>196</v>
      </c>
      <c r="C22" s="529"/>
      <c r="D22" s="529"/>
      <c r="E22" s="529"/>
      <c r="F22" s="529"/>
      <c r="G22" s="529"/>
      <c r="H22" s="529"/>
      <c r="I22" s="529"/>
      <c r="J22" s="529"/>
      <c r="K22" s="89"/>
    </row>
    <row r="23" spans="2:20" ht="124.5" customHeight="1">
      <c r="B23" s="534" t="s">
        <v>197</v>
      </c>
      <c r="C23" s="534"/>
      <c r="D23" s="534"/>
      <c r="E23" s="534"/>
      <c r="F23" s="534"/>
      <c r="G23" s="534"/>
      <c r="H23" s="534"/>
      <c r="I23" s="534"/>
      <c r="J23" s="534"/>
      <c r="K23" s="91"/>
      <c r="L23" s="85" t="s">
        <v>182</v>
      </c>
    </row>
    <row r="24" spans="2:20" ht="18" customHeight="1">
      <c r="B24" s="489" t="s">
        <v>47</v>
      </c>
      <c r="C24" s="489"/>
      <c r="D24" s="489"/>
      <c r="E24" s="489"/>
      <c r="F24" s="489"/>
      <c r="G24" s="489"/>
      <c r="H24" s="489"/>
      <c r="I24" s="489"/>
      <c r="J24" s="489"/>
      <c r="K24" s="489"/>
      <c r="L24" s="489"/>
      <c r="M24" s="489"/>
      <c r="N24" s="489"/>
      <c r="O24" s="489"/>
      <c r="P24" s="489"/>
      <c r="Q24" s="489"/>
      <c r="R24" s="489"/>
      <c r="S24" s="489"/>
      <c r="T24" s="489"/>
    </row>
  </sheetData>
  <mergeCells count="20">
    <mergeCell ref="B22:J22"/>
    <mergeCell ref="B23:J23"/>
    <mergeCell ref="B24:T24"/>
    <mergeCell ref="B14:J14"/>
    <mergeCell ref="B16:J16"/>
    <mergeCell ref="B17:J17"/>
    <mergeCell ref="B19:J19"/>
    <mergeCell ref="B20:J20"/>
    <mergeCell ref="B9:J9"/>
    <mergeCell ref="B11:J11"/>
    <mergeCell ref="B12:C13"/>
    <mergeCell ref="E12:F12"/>
    <mergeCell ref="H12:J12"/>
    <mergeCell ref="E13:F13"/>
    <mergeCell ref="H13:J13"/>
    <mergeCell ref="B1:J1"/>
    <mergeCell ref="B3:J3"/>
    <mergeCell ref="B4:J4"/>
    <mergeCell ref="B6:J6"/>
    <mergeCell ref="B7:J7"/>
  </mergeCells>
  <phoneticPr fontId="77"/>
  <dataValidations count="1">
    <dataValidation type="list" allowBlank="1" showInputMessage="1" showErrorMessage="1" sqref="D12:D13 G12:G13" xr:uid="{00000000-0002-0000-0300-000000000000}">
      <formula1>"○"</formula1>
      <formula2>0</formula2>
    </dataValidation>
  </dataValidations>
  <pageMargins left="0.70833333333333304" right="0.70833333333333304" top="0.55138888888888904" bottom="0.55138888888888904" header="0.511811023622047" footer="0.511811023622047"/>
  <pageSetup paperSize="9" fitToHeight="0" orientation="portrait" useFirstPageNumber="1" horizontalDpi="300" verticalDpi="300"/>
  <rowBreaks count="1" manualBreakCount="1">
    <brk id="32" max="16383" man="1"/>
  </rowBreak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B1:T26"/>
  <sheetViews>
    <sheetView zoomScale="80" zoomScaleNormal="80" workbookViewId="0">
      <selection activeCell="C3" sqref="C3"/>
    </sheetView>
  </sheetViews>
  <sheetFormatPr defaultColWidth="8.1640625" defaultRowHeight="14"/>
  <cols>
    <col min="1" max="1" width="1.6640625" style="92" customWidth="1"/>
    <col min="2" max="4" width="13" style="92" customWidth="1"/>
    <col min="5" max="8" width="19.1640625" style="92" customWidth="1"/>
    <col min="9" max="9" width="1.6640625" style="92" customWidth="1"/>
    <col min="10" max="16384" width="8.1640625" style="92"/>
  </cols>
  <sheetData>
    <row r="1" spans="2:12" ht="19.5" customHeight="1">
      <c r="B1" s="495" t="s">
        <v>198</v>
      </c>
      <c r="C1" s="495"/>
      <c r="D1" s="495"/>
      <c r="E1" s="495"/>
      <c r="F1" s="495"/>
      <c r="G1" s="495"/>
      <c r="H1" s="495"/>
      <c r="I1" s="495"/>
      <c r="J1" s="495"/>
      <c r="K1" s="495"/>
    </row>
    <row r="2" spans="2:12" ht="6" customHeight="1">
      <c r="B2" s="93"/>
      <c r="C2" s="94"/>
      <c r="D2" s="94"/>
      <c r="E2" s="94"/>
      <c r="F2" s="94"/>
      <c r="G2" s="94"/>
      <c r="H2" s="94"/>
      <c r="I2" s="94"/>
      <c r="J2" s="94"/>
      <c r="K2" s="94"/>
    </row>
    <row r="3" spans="2:12" ht="18" customHeight="1">
      <c r="B3" s="95" t="s">
        <v>199</v>
      </c>
      <c r="C3" s="95"/>
      <c r="D3" s="96"/>
      <c r="E3" s="97"/>
      <c r="F3" s="97"/>
      <c r="G3" s="97"/>
      <c r="H3" s="98"/>
      <c r="I3" s="99"/>
      <c r="J3" s="99"/>
      <c r="K3" s="99"/>
    </row>
    <row r="4" spans="2:12" ht="29.25" customHeight="1">
      <c r="B4" s="536" t="s">
        <v>200</v>
      </c>
      <c r="C4" s="536"/>
      <c r="D4" s="536"/>
      <c r="E4" s="536"/>
      <c r="F4" s="536"/>
      <c r="G4" s="536"/>
      <c r="H4" s="536"/>
      <c r="I4" s="100"/>
      <c r="J4" s="100"/>
      <c r="K4" s="100"/>
      <c r="L4" s="537"/>
    </row>
    <row r="5" spans="2:12" ht="57" customHeight="1">
      <c r="B5" s="535" t="s">
        <v>201</v>
      </c>
      <c r="C5" s="535"/>
      <c r="D5" s="535"/>
      <c r="E5" s="535"/>
      <c r="F5" s="535"/>
      <c r="G5" s="535"/>
      <c r="H5" s="535"/>
      <c r="I5" s="91"/>
      <c r="J5" s="91"/>
      <c r="K5" s="91"/>
      <c r="L5" s="537"/>
    </row>
    <row r="6" spans="2:12" ht="57" customHeight="1">
      <c r="B6" s="535"/>
      <c r="C6" s="535"/>
      <c r="D6" s="535"/>
      <c r="E6" s="535"/>
      <c r="F6" s="535"/>
      <c r="G6" s="535"/>
      <c r="H6" s="535"/>
      <c r="I6" s="91"/>
      <c r="J6" s="91"/>
      <c r="K6" s="91"/>
      <c r="L6" s="537"/>
    </row>
    <row r="7" spans="2:12" ht="57" customHeight="1">
      <c r="B7" s="535"/>
      <c r="C7" s="535"/>
      <c r="D7" s="535"/>
      <c r="E7" s="535"/>
      <c r="F7" s="535"/>
      <c r="G7" s="535"/>
      <c r="H7" s="535"/>
      <c r="I7" s="91"/>
      <c r="J7" s="91"/>
      <c r="K7" s="91"/>
      <c r="L7" s="537"/>
    </row>
    <row r="8" spans="2:12" ht="57" customHeight="1">
      <c r="B8" s="535"/>
      <c r="C8" s="535"/>
      <c r="D8" s="535"/>
      <c r="E8" s="535"/>
      <c r="F8" s="535"/>
      <c r="G8" s="535"/>
      <c r="H8" s="535"/>
      <c r="I8" s="91"/>
      <c r="J8" s="91"/>
      <c r="K8" s="91"/>
      <c r="L8" s="537"/>
    </row>
    <row r="9" spans="2:12" ht="57" customHeight="1">
      <c r="B9" s="535"/>
      <c r="C9" s="535"/>
      <c r="D9" s="535"/>
      <c r="E9" s="535"/>
      <c r="F9" s="535"/>
      <c r="G9" s="535"/>
      <c r="H9" s="535"/>
      <c r="I9" s="91"/>
      <c r="J9" s="91"/>
      <c r="K9" s="91"/>
      <c r="L9" s="537"/>
    </row>
    <row r="10" spans="2:12" ht="6" customHeight="1">
      <c r="B10" s="93"/>
      <c r="C10" s="94"/>
      <c r="D10" s="94"/>
      <c r="E10" s="94"/>
      <c r="F10" s="94"/>
      <c r="G10" s="94"/>
      <c r="H10" s="94"/>
      <c r="I10" s="94"/>
      <c r="J10" s="94"/>
      <c r="K10" s="94"/>
      <c r="L10" s="101"/>
    </row>
    <row r="11" spans="2:12" ht="18.75" customHeight="1">
      <c r="B11" s="95" t="s">
        <v>202</v>
      </c>
      <c r="C11" s="96"/>
      <c r="D11" s="96"/>
      <c r="E11" s="97"/>
      <c r="F11" s="97"/>
      <c r="G11" s="97"/>
      <c r="H11" s="98"/>
      <c r="I11" s="99"/>
      <c r="J11" s="99"/>
      <c r="K11" s="99"/>
    </row>
    <row r="12" spans="2:12" ht="18.75" customHeight="1">
      <c r="B12" s="536" t="s">
        <v>200</v>
      </c>
      <c r="C12" s="536"/>
      <c r="D12" s="536"/>
      <c r="E12" s="536"/>
      <c r="F12" s="536"/>
      <c r="G12" s="536"/>
      <c r="H12" s="536"/>
      <c r="I12" s="100"/>
      <c r="J12" s="100"/>
      <c r="K12" s="100"/>
    </row>
    <row r="13" spans="2:12" ht="57" customHeight="1">
      <c r="B13" s="535" t="s">
        <v>203</v>
      </c>
      <c r="C13" s="535"/>
      <c r="D13" s="535"/>
      <c r="E13" s="535"/>
      <c r="F13" s="535"/>
      <c r="G13" s="535"/>
      <c r="H13" s="535"/>
      <c r="I13" s="91"/>
      <c r="J13" s="91"/>
      <c r="K13" s="91"/>
    </row>
    <row r="14" spans="2:12" ht="57" customHeight="1">
      <c r="B14" s="535"/>
      <c r="C14" s="535"/>
      <c r="D14" s="535"/>
      <c r="E14" s="535"/>
      <c r="F14" s="535"/>
      <c r="G14" s="535"/>
      <c r="H14" s="535"/>
      <c r="I14" s="91"/>
      <c r="J14" s="91"/>
      <c r="K14" s="91"/>
    </row>
    <row r="15" spans="2:12" ht="57" customHeight="1">
      <c r="B15" s="535"/>
      <c r="C15" s="535"/>
      <c r="D15" s="535"/>
      <c r="E15" s="535"/>
      <c r="F15" s="535"/>
      <c r="G15" s="535"/>
      <c r="H15" s="535"/>
      <c r="I15" s="91"/>
      <c r="J15" s="91"/>
      <c r="K15" s="91"/>
    </row>
    <row r="16" spans="2:12" ht="57" customHeight="1">
      <c r="B16" s="535"/>
      <c r="C16" s="535"/>
      <c r="D16" s="535"/>
      <c r="E16" s="535"/>
      <c r="F16" s="535"/>
      <c r="G16" s="535"/>
      <c r="H16" s="535"/>
      <c r="I16" s="91"/>
      <c r="J16" s="91"/>
      <c r="K16" s="91"/>
    </row>
    <row r="17" spans="2:20" ht="57" customHeight="1">
      <c r="B17" s="535"/>
      <c r="C17" s="535"/>
      <c r="D17" s="535"/>
      <c r="E17" s="535"/>
      <c r="F17" s="535"/>
      <c r="G17" s="535"/>
      <c r="H17" s="535"/>
      <c r="I17" s="91"/>
      <c r="J17" s="91"/>
      <c r="K17" s="91"/>
    </row>
    <row r="18" spans="2:20" ht="6" customHeight="1"/>
    <row r="19" spans="2:20" ht="18.75" customHeight="1">
      <c r="B19" s="95" t="s">
        <v>204</v>
      </c>
      <c r="C19" s="96"/>
      <c r="D19" s="96"/>
      <c r="E19" s="97"/>
      <c r="F19" s="97"/>
      <c r="G19" s="97"/>
      <c r="H19" s="98"/>
      <c r="I19" s="99"/>
      <c r="J19" s="99"/>
      <c r="K19" s="99"/>
    </row>
    <row r="20" spans="2:20" ht="18.75" customHeight="1">
      <c r="B20" s="536" t="s">
        <v>200</v>
      </c>
      <c r="C20" s="536"/>
      <c r="D20" s="536"/>
      <c r="E20" s="536"/>
      <c r="F20" s="536"/>
      <c r="G20" s="536"/>
      <c r="H20" s="536"/>
      <c r="I20" s="100"/>
      <c r="J20" s="100"/>
      <c r="K20" s="100"/>
    </row>
    <row r="21" spans="2:20" ht="57" customHeight="1">
      <c r="B21" s="535" t="s">
        <v>205</v>
      </c>
      <c r="C21" s="535"/>
      <c r="D21" s="535"/>
      <c r="E21" s="535"/>
      <c r="F21" s="535"/>
      <c r="G21" s="535"/>
      <c r="H21" s="535"/>
      <c r="I21" s="91"/>
      <c r="J21" s="91"/>
      <c r="K21" s="91"/>
    </row>
    <row r="22" spans="2:20" ht="57" customHeight="1">
      <c r="B22" s="535"/>
      <c r="C22" s="535"/>
      <c r="D22" s="535"/>
      <c r="E22" s="535"/>
      <c r="F22" s="535"/>
      <c r="G22" s="535"/>
      <c r="H22" s="535"/>
      <c r="I22" s="91"/>
      <c r="J22" s="91"/>
      <c r="K22" s="91"/>
    </row>
    <row r="23" spans="2:20" ht="57" customHeight="1">
      <c r="B23" s="535"/>
      <c r="C23" s="535"/>
      <c r="D23" s="535"/>
      <c r="E23" s="535"/>
      <c r="F23" s="535"/>
      <c r="G23" s="535"/>
      <c r="H23" s="535"/>
      <c r="I23" s="91"/>
      <c r="J23" s="91"/>
      <c r="K23" s="91"/>
    </row>
    <row r="24" spans="2:20" ht="57" customHeight="1">
      <c r="B24" s="535"/>
      <c r="C24" s="535"/>
      <c r="D24" s="535"/>
      <c r="E24" s="535"/>
      <c r="F24" s="535"/>
      <c r="G24" s="535"/>
      <c r="H24" s="535"/>
      <c r="I24" s="91"/>
      <c r="J24" s="91"/>
      <c r="K24" s="91"/>
    </row>
    <row r="25" spans="2:20" ht="57" customHeight="1">
      <c r="B25" s="535"/>
      <c r="C25" s="535"/>
      <c r="D25" s="535"/>
      <c r="E25" s="535"/>
      <c r="F25" s="535"/>
      <c r="G25" s="535"/>
      <c r="H25" s="535"/>
      <c r="I25" s="91"/>
      <c r="J25" s="91"/>
      <c r="K25" s="91"/>
    </row>
    <row r="26" spans="2:20" ht="18.75" customHeight="1">
      <c r="B26" s="489" t="s">
        <v>47</v>
      </c>
      <c r="C26" s="489"/>
      <c r="D26" s="489"/>
      <c r="E26" s="489"/>
      <c r="F26" s="489"/>
      <c r="G26" s="489"/>
      <c r="H26" s="489"/>
      <c r="I26" s="489"/>
      <c r="J26" s="489"/>
      <c r="K26" s="489"/>
      <c r="L26" s="489"/>
      <c r="M26" s="489"/>
      <c r="N26" s="489"/>
      <c r="O26" s="489"/>
      <c r="P26" s="489"/>
      <c r="Q26" s="489"/>
      <c r="R26" s="489"/>
      <c r="S26" s="489"/>
      <c r="T26" s="489"/>
    </row>
  </sheetData>
  <mergeCells count="9">
    <mergeCell ref="B13:H17"/>
    <mergeCell ref="B20:H20"/>
    <mergeCell ref="B21:H25"/>
    <mergeCell ref="B26:T26"/>
    <mergeCell ref="B1:K1"/>
    <mergeCell ref="B4:H4"/>
    <mergeCell ref="L4:L9"/>
    <mergeCell ref="B5:H9"/>
    <mergeCell ref="B12:H12"/>
  </mergeCells>
  <phoneticPr fontId="77"/>
  <pageMargins left="0.70833333333333304" right="0.70833333333333304" top="0.74791666666666701" bottom="0.74791666666666701" header="0.511811023622047" footer="0.511811023622047"/>
  <pageSetup paperSize="9" fitToHeight="0"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pageSetUpPr fitToPage="1"/>
  </sheetPr>
  <dimension ref="B1:T1019"/>
  <sheetViews>
    <sheetView topLeftCell="B1" zoomScale="90" zoomScaleNormal="90" workbookViewId="0">
      <selection activeCell="N16" sqref="N16"/>
    </sheetView>
  </sheetViews>
  <sheetFormatPr defaultColWidth="8.1640625" defaultRowHeight="14"/>
  <cols>
    <col min="1" max="1" width="1.9140625" style="92" customWidth="1"/>
    <col min="2" max="2" width="25" style="92" customWidth="1"/>
    <col min="3" max="14" width="7.5" style="92" customWidth="1"/>
    <col min="15" max="16384" width="8.1640625" style="92"/>
  </cols>
  <sheetData>
    <row r="1" spans="2:20" ht="18.75" customHeight="1">
      <c r="B1" s="102" t="s">
        <v>206</v>
      </c>
      <c r="C1" s="103"/>
      <c r="D1" s="104"/>
      <c r="E1" s="104"/>
      <c r="F1" s="104"/>
      <c r="G1" s="104"/>
      <c r="H1" s="104"/>
      <c r="I1" s="104"/>
      <c r="J1" s="104"/>
      <c r="K1" s="104"/>
      <c r="L1" s="104"/>
      <c r="M1" s="104"/>
      <c r="N1" s="105"/>
    </row>
    <row r="2" spans="2:20" ht="48" customHeight="1">
      <c r="B2" s="538" t="s">
        <v>207</v>
      </c>
      <c r="C2" s="538" t="s">
        <v>208</v>
      </c>
      <c r="D2" s="538"/>
      <c r="E2" s="538"/>
      <c r="F2" s="538"/>
      <c r="G2" s="538"/>
      <c r="H2" s="538"/>
      <c r="I2" s="538"/>
      <c r="J2" s="538"/>
      <c r="K2" s="538"/>
      <c r="L2" s="538"/>
      <c r="M2" s="538"/>
      <c r="N2" s="538"/>
    </row>
    <row r="3" spans="2:20" ht="48" customHeight="1">
      <c r="B3" s="538"/>
      <c r="C3" s="106" t="s">
        <v>209</v>
      </c>
      <c r="D3" s="106" t="s">
        <v>210</v>
      </c>
      <c r="E3" s="106" t="s">
        <v>211</v>
      </c>
      <c r="F3" s="106" t="s">
        <v>212</v>
      </c>
      <c r="G3" s="106" t="s">
        <v>213</v>
      </c>
      <c r="H3" s="106" t="s">
        <v>214</v>
      </c>
      <c r="I3" s="106" t="s">
        <v>215</v>
      </c>
      <c r="J3" s="106" t="s">
        <v>216</v>
      </c>
      <c r="K3" s="106" t="s">
        <v>217</v>
      </c>
      <c r="L3" s="106" t="s">
        <v>218</v>
      </c>
      <c r="M3" s="106" t="s">
        <v>219</v>
      </c>
      <c r="N3" s="106" t="s">
        <v>220</v>
      </c>
    </row>
    <row r="4" spans="2:20" ht="48.75" customHeight="1">
      <c r="B4" s="43" t="s">
        <v>221</v>
      </c>
      <c r="C4" s="107"/>
      <c r="D4" s="108"/>
      <c r="E4" s="108"/>
      <c r="F4" s="108"/>
      <c r="G4" s="108"/>
      <c r="H4" s="108"/>
      <c r="I4" s="539" t="s">
        <v>222</v>
      </c>
      <c r="J4" s="539"/>
      <c r="K4" s="539"/>
      <c r="L4" s="539"/>
      <c r="M4" s="109"/>
      <c r="N4" s="109"/>
    </row>
    <row r="5" spans="2:20" ht="48.75" customHeight="1">
      <c r="B5" s="43" t="s">
        <v>223</v>
      </c>
      <c r="C5" s="108"/>
      <c r="D5" s="107"/>
      <c r="E5" s="108"/>
      <c r="F5" s="108"/>
      <c r="G5" s="108"/>
      <c r="H5" s="108"/>
      <c r="I5" s="540" t="s">
        <v>224</v>
      </c>
      <c r="J5" s="540"/>
      <c r="K5" s="540"/>
      <c r="L5" s="540"/>
      <c r="M5" s="109"/>
      <c r="N5" s="109"/>
    </row>
    <row r="6" spans="2:20" ht="48.75" customHeight="1">
      <c r="B6" s="43" t="s">
        <v>225</v>
      </c>
      <c r="C6" s="108"/>
      <c r="D6" s="108"/>
      <c r="E6" s="107"/>
      <c r="F6" s="108"/>
      <c r="G6" s="108"/>
      <c r="H6" s="108"/>
      <c r="I6" s="539" t="s">
        <v>226</v>
      </c>
      <c r="J6" s="539"/>
      <c r="K6" s="539"/>
      <c r="L6" s="539"/>
      <c r="M6" s="109"/>
      <c r="N6" s="109"/>
    </row>
    <row r="7" spans="2:20" ht="48.75" customHeight="1">
      <c r="B7" s="111" t="s">
        <v>227</v>
      </c>
      <c r="C7" s="112" t="s">
        <v>228</v>
      </c>
      <c r="D7" s="113"/>
      <c r="E7" s="113"/>
      <c r="F7" s="113" t="s">
        <v>228</v>
      </c>
      <c r="G7" s="114" t="s">
        <v>229</v>
      </c>
      <c r="H7" s="113"/>
      <c r="I7" s="113" t="s">
        <v>228</v>
      </c>
      <c r="J7" s="113"/>
      <c r="K7" s="113"/>
      <c r="L7" s="113" t="s">
        <v>228</v>
      </c>
      <c r="M7" s="113"/>
      <c r="N7" s="112" t="s">
        <v>230</v>
      </c>
    </row>
    <row r="8" spans="2:20" ht="48" customHeight="1">
      <c r="B8" s="538" t="s">
        <v>207</v>
      </c>
      <c r="C8" s="538" t="s">
        <v>231</v>
      </c>
      <c r="D8" s="538"/>
      <c r="E8" s="538"/>
      <c r="F8" s="538"/>
      <c r="G8" s="538"/>
      <c r="H8" s="538"/>
      <c r="I8" s="538"/>
      <c r="J8" s="538"/>
      <c r="K8" s="538"/>
      <c r="L8" s="538"/>
      <c r="M8" s="538"/>
      <c r="N8" s="538"/>
    </row>
    <row r="9" spans="2:20" ht="48" customHeight="1">
      <c r="B9" s="538"/>
      <c r="C9" s="106" t="s">
        <v>209</v>
      </c>
      <c r="D9" s="106" t="s">
        <v>210</v>
      </c>
      <c r="E9" s="106" t="s">
        <v>211</v>
      </c>
      <c r="F9" s="106" t="s">
        <v>212</v>
      </c>
      <c r="G9" s="106" t="s">
        <v>213</v>
      </c>
      <c r="H9" s="106" t="s">
        <v>214</v>
      </c>
      <c r="I9" s="106" t="s">
        <v>215</v>
      </c>
      <c r="J9" s="106" t="s">
        <v>216</v>
      </c>
      <c r="K9" s="106" t="s">
        <v>217</v>
      </c>
      <c r="L9" s="106" t="s">
        <v>218</v>
      </c>
      <c r="M9" s="106" t="s">
        <v>219</v>
      </c>
      <c r="N9" s="106" t="s">
        <v>220</v>
      </c>
      <c r="T9" s="92" t="s">
        <v>232</v>
      </c>
    </row>
    <row r="10" spans="2:20" ht="48.75" customHeight="1">
      <c r="B10" s="43" t="s">
        <v>233</v>
      </c>
      <c r="C10" s="539" t="s">
        <v>234</v>
      </c>
      <c r="D10" s="539"/>
      <c r="E10" s="539"/>
      <c r="F10" s="539"/>
      <c r="G10" s="115"/>
      <c r="H10" s="115"/>
      <c r="I10" s="539" t="s">
        <v>222</v>
      </c>
      <c r="J10" s="539"/>
      <c r="K10" s="539"/>
      <c r="L10" s="539"/>
      <c r="M10" s="115"/>
      <c r="N10" s="115"/>
    </row>
    <row r="11" spans="2:20" ht="48.75" customHeight="1">
      <c r="B11" s="43" t="s">
        <v>235</v>
      </c>
      <c r="C11" s="540" t="s">
        <v>236</v>
      </c>
      <c r="D11" s="540"/>
      <c r="E11" s="540"/>
      <c r="F11" s="540"/>
      <c r="G11" s="115"/>
      <c r="H11" s="115"/>
      <c r="I11" s="540" t="s">
        <v>237</v>
      </c>
      <c r="J11" s="540"/>
      <c r="K11" s="540"/>
      <c r="L11" s="540"/>
      <c r="M11" s="115"/>
      <c r="N11" s="115"/>
    </row>
    <row r="12" spans="2:20" ht="48.75" customHeight="1">
      <c r="B12" s="43" t="s">
        <v>225</v>
      </c>
      <c r="C12" s="115"/>
      <c r="D12" s="115"/>
      <c r="E12" s="546" t="s">
        <v>238</v>
      </c>
      <c r="F12" s="546"/>
      <c r="G12" s="116"/>
      <c r="H12" s="115"/>
      <c r="I12" s="539" t="s">
        <v>226</v>
      </c>
      <c r="J12" s="539"/>
      <c r="K12" s="539"/>
      <c r="L12" s="539"/>
      <c r="M12" s="115"/>
      <c r="N12" s="115"/>
    </row>
    <row r="13" spans="2:20" ht="48.75" customHeight="1">
      <c r="B13" s="111" t="s">
        <v>227</v>
      </c>
      <c r="C13" s="112" t="s">
        <v>228</v>
      </c>
      <c r="D13" s="113"/>
      <c r="E13" s="113"/>
      <c r="F13" s="113" t="s">
        <v>228</v>
      </c>
      <c r="G13" s="114" t="s">
        <v>239</v>
      </c>
      <c r="H13" s="113"/>
      <c r="I13" s="113" t="s">
        <v>228</v>
      </c>
      <c r="J13" s="113"/>
      <c r="K13" s="113"/>
      <c r="L13" s="113" t="s">
        <v>228</v>
      </c>
      <c r="M13" s="113"/>
      <c r="N13" s="112" t="s">
        <v>230</v>
      </c>
    </row>
    <row r="14" spans="2:20" ht="48" customHeight="1">
      <c r="B14" s="538" t="s">
        <v>207</v>
      </c>
      <c r="C14" s="538" t="s">
        <v>240</v>
      </c>
      <c r="D14" s="538"/>
      <c r="E14" s="538"/>
      <c r="F14" s="538"/>
      <c r="G14" s="538"/>
      <c r="H14" s="538"/>
      <c r="I14" s="538"/>
      <c r="J14" s="538"/>
      <c r="K14" s="538"/>
      <c r="L14" s="538"/>
      <c r="M14" s="538"/>
      <c r="N14" s="538"/>
    </row>
    <row r="15" spans="2:20" ht="48" customHeight="1">
      <c r="B15" s="538"/>
      <c r="C15" s="106" t="s">
        <v>209</v>
      </c>
      <c r="D15" s="106" t="s">
        <v>210</v>
      </c>
      <c r="E15" s="106" t="s">
        <v>211</v>
      </c>
      <c r="F15" s="106" t="s">
        <v>212</v>
      </c>
      <c r="G15" s="106" t="s">
        <v>213</v>
      </c>
      <c r="H15" s="106" t="s">
        <v>214</v>
      </c>
      <c r="I15" s="106" t="s">
        <v>215</v>
      </c>
      <c r="J15" s="106" t="s">
        <v>216</v>
      </c>
      <c r="K15" s="106" t="s">
        <v>217</v>
      </c>
      <c r="L15" s="106" t="s">
        <v>218</v>
      </c>
      <c r="M15" s="106" t="s">
        <v>219</v>
      </c>
      <c r="N15" s="106" t="s">
        <v>220</v>
      </c>
    </row>
    <row r="16" spans="2:20" ht="48.75" customHeight="1">
      <c r="B16" s="43" t="s">
        <v>233</v>
      </c>
      <c r="C16" s="539" t="s">
        <v>234</v>
      </c>
      <c r="D16" s="539"/>
      <c r="E16" s="539"/>
      <c r="F16" s="539"/>
      <c r="G16" s="115"/>
      <c r="H16" s="115"/>
      <c r="I16" s="542" t="s">
        <v>222</v>
      </c>
      <c r="J16" s="543"/>
      <c r="K16" s="543"/>
      <c r="L16" s="544"/>
      <c r="M16" s="115"/>
      <c r="N16" s="115"/>
    </row>
    <row r="17" spans="2:14" ht="48.75" customHeight="1">
      <c r="B17" s="43" t="s">
        <v>235</v>
      </c>
      <c r="C17" s="540" t="s">
        <v>236</v>
      </c>
      <c r="D17" s="540"/>
      <c r="E17" s="540"/>
      <c r="F17" s="540"/>
      <c r="G17" s="115"/>
      <c r="H17" s="115"/>
      <c r="I17" s="545" t="s">
        <v>237</v>
      </c>
      <c r="J17" s="543"/>
      <c r="K17" s="543"/>
      <c r="L17" s="544"/>
      <c r="M17" s="115"/>
      <c r="N17" s="115"/>
    </row>
    <row r="18" spans="2:14" ht="48.75" customHeight="1">
      <c r="B18" s="43" t="s">
        <v>225</v>
      </c>
      <c r="C18" s="115"/>
      <c r="D18" s="115"/>
      <c r="E18" s="541" t="s">
        <v>238</v>
      </c>
      <c r="F18" s="541"/>
      <c r="G18" s="115"/>
      <c r="H18" s="115"/>
      <c r="I18" s="539" t="s">
        <v>226</v>
      </c>
      <c r="J18" s="539"/>
      <c r="K18" s="539"/>
      <c r="L18" s="539"/>
      <c r="M18" s="115"/>
      <c r="N18" s="115"/>
    </row>
    <row r="19" spans="2:14" ht="48.75" customHeight="1">
      <c r="B19" s="117" t="s">
        <v>227</v>
      </c>
      <c r="C19" s="110" t="s">
        <v>761</v>
      </c>
      <c r="D19" s="115"/>
      <c r="E19" s="115"/>
      <c r="F19" s="115" t="s">
        <v>228</v>
      </c>
      <c r="G19" s="118" t="s">
        <v>241</v>
      </c>
      <c r="H19" s="115"/>
      <c r="I19" s="115" t="s">
        <v>228</v>
      </c>
      <c r="J19" s="115"/>
      <c r="K19" s="115"/>
      <c r="L19" s="115" t="s">
        <v>228</v>
      </c>
      <c r="M19" s="115"/>
      <c r="N19" s="110" t="s">
        <v>230</v>
      </c>
    </row>
    <row r="20" spans="2:14" ht="16.5" customHeight="1"/>
    <row r="21" spans="2:14" ht="13.5" customHeight="1"/>
    <row r="22" spans="2:14" ht="13.5" customHeight="1"/>
    <row r="23" spans="2:14" ht="13.5" customHeight="1"/>
    <row r="24" spans="2:14" ht="13.5" customHeight="1"/>
    <row r="25" spans="2:14" ht="13.5" customHeight="1"/>
    <row r="26" spans="2:14" ht="13.5" customHeight="1"/>
    <row r="27" spans="2:14" ht="13.5" customHeight="1"/>
    <row r="28" spans="2:14" ht="13.5" customHeight="1"/>
    <row r="29" spans="2:14" ht="13.5" customHeight="1"/>
    <row r="30" spans="2:14" ht="13.5" customHeight="1"/>
    <row r="31" spans="2:14" ht="13.5" customHeight="1"/>
    <row r="32" spans="2:14"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row r="1014" ht="13.5" customHeight="1"/>
    <row r="1015" ht="13.5" customHeight="1"/>
    <row r="1016" ht="13.5" customHeight="1"/>
    <row r="1017" ht="13.5" customHeight="1"/>
    <row r="1018" ht="13.5" customHeight="1"/>
    <row r="1019" ht="13.5" customHeight="1"/>
  </sheetData>
  <mergeCells count="21">
    <mergeCell ref="E18:F18"/>
    <mergeCell ref="I16:L16"/>
    <mergeCell ref="I17:L17"/>
    <mergeCell ref="E12:F12"/>
    <mergeCell ref="B14:B15"/>
    <mergeCell ref="C14:N14"/>
    <mergeCell ref="C16:F16"/>
    <mergeCell ref="C17:F17"/>
    <mergeCell ref="I12:L12"/>
    <mergeCell ref="I18:L18"/>
    <mergeCell ref="B8:B9"/>
    <mergeCell ref="C8:N8"/>
    <mergeCell ref="C10:F10"/>
    <mergeCell ref="I10:L10"/>
    <mergeCell ref="C11:F11"/>
    <mergeCell ref="I11:L11"/>
    <mergeCell ref="B2:B3"/>
    <mergeCell ref="C2:N2"/>
    <mergeCell ref="I4:L4"/>
    <mergeCell ref="I5:L5"/>
    <mergeCell ref="I6:L6"/>
  </mergeCells>
  <phoneticPr fontId="77"/>
  <pageMargins left="0.7" right="0.7" top="0.75" bottom="0.75" header="0.511811023622047" footer="0.511811023622047"/>
  <pageSetup paperSize="9" fitToHeight="0"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pageSetUpPr fitToPage="1"/>
  </sheetPr>
  <dimension ref="B1:Q24"/>
  <sheetViews>
    <sheetView topLeftCell="A8" zoomScale="80" zoomScaleNormal="80" workbookViewId="0">
      <selection activeCell="F5" sqref="F5"/>
    </sheetView>
  </sheetViews>
  <sheetFormatPr defaultColWidth="9" defaultRowHeight="14"/>
  <cols>
    <col min="1" max="1" width="1.6640625" style="1" customWidth="1"/>
    <col min="2" max="2" width="18.1640625" style="1" customWidth="1"/>
    <col min="3" max="4" width="7" style="1" customWidth="1"/>
    <col min="5" max="5" width="13.1640625" style="1" customWidth="1"/>
    <col min="6" max="6" width="15.1640625" style="1" customWidth="1"/>
    <col min="7" max="7" width="18.6640625" style="1" customWidth="1"/>
    <col min="8" max="10" width="12.5" style="1" customWidth="1"/>
    <col min="11" max="11" width="1.6640625" style="1" customWidth="1"/>
    <col min="12" max="16384" width="9" style="1"/>
  </cols>
  <sheetData>
    <row r="1" spans="2:17" ht="18.75" customHeight="1">
      <c r="B1" s="38" t="s">
        <v>242</v>
      </c>
      <c r="C1" s="119"/>
      <c r="D1" s="119"/>
      <c r="E1" s="119"/>
      <c r="F1" s="119"/>
      <c r="G1" s="119"/>
      <c r="H1" s="119"/>
      <c r="I1" s="119"/>
      <c r="J1" s="119"/>
      <c r="P1" s="120"/>
      <c r="Q1" s="120"/>
    </row>
    <row r="2" spans="2:17" ht="4.5" customHeight="1">
      <c r="P2" s="120"/>
      <c r="Q2" s="120"/>
    </row>
    <row r="3" spans="2:17" ht="20.25" customHeight="1">
      <c r="B3" s="22" t="s">
        <v>243</v>
      </c>
      <c r="E3" s="120"/>
      <c r="F3" s="120"/>
      <c r="G3" s="120"/>
      <c r="H3" s="120"/>
      <c r="I3" s="120"/>
      <c r="J3" s="120"/>
      <c r="K3" s="120"/>
    </row>
    <row r="4" spans="2:17" ht="17.25" customHeight="1">
      <c r="B4" s="121" t="s">
        <v>50</v>
      </c>
      <c r="C4" s="122" t="s">
        <v>244</v>
      </c>
      <c r="D4" s="122" t="s">
        <v>245</v>
      </c>
      <c r="E4" s="122" t="s">
        <v>246</v>
      </c>
      <c r="F4" s="122" t="s">
        <v>247</v>
      </c>
      <c r="G4" s="123" t="s">
        <v>248</v>
      </c>
      <c r="H4" s="547" t="s">
        <v>249</v>
      </c>
      <c r="I4" s="547"/>
      <c r="J4" s="547"/>
      <c r="K4" s="51"/>
    </row>
    <row r="5" spans="2:17" ht="201" customHeight="1">
      <c r="B5" s="124" t="s">
        <v>250</v>
      </c>
      <c r="C5" s="125" t="s">
        <v>251</v>
      </c>
      <c r="D5" s="125" t="s">
        <v>252</v>
      </c>
      <c r="E5" s="126" t="s">
        <v>253</v>
      </c>
      <c r="F5" s="126" t="s">
        <v>254</v>
      </c>
      <c r="G5" s="127" t="s">
        <v>255</v>
      </c>
      <c r="H5" s="479" t="s">
        <v>256</v>
      </c>
      <c r="I5" s="479"/>
      <c r="J5" s="479"/>
      <c r="K5" s="128"/>
    </row>
    <row r="6" spans="2:17" ht="108.75" customHeight="1">
      <c r="B6" s="124" t="s">
        <v>257</v>
      </c>
      <c r="C6" s="125" t="s">
        <v>251</v>
      </c>
      <c r="D6" s="125" t="s">
        <v>252</v>
      </c>
      <c r="E6" s="126" t="s">
        <v>258</v>
      </c>
      <c r="F6" s="126" t="s">
        <v>259</v>
      </c>
      <c r="G6" s="126" t="s">
        <v>260</v>
      </c>
      <c r="H6" s="479" t="s">
        <v>261</v>
      </c>
      <c r="I6" s="479"/>
      <c r="J6" s="479"/>
      <c r="K6" s="128"/>
    </row>
    <row r="7" spans="2:17" ht="61.5" customHeight="1">
      <c r="B7" s="124" t="s">
        <v>262</v>
      </c>
      <c r="C7" s="125" t="s">
        <v>263</v>
      </c>
      <c r="D7" s="125" t="s">
        <v>252</v>
      </c>
      <c r="E7" s="126" t="s">
        <v>264</v>
      </c>
      <c r="F7" s="126" t="s">
        <v>265</v>
      </c>
      <c r="G7" s="129" t="s">
        <v>266</v>
      </c>
      <c r="H7" s="479" t="s">
        <v>267</v>
      </c>
      <c r="I7" s="479"/>
      <c r="J7" s="479"/>
      <c r="K7" s="128"/>
    </row>
    <row r="8" spans="2:17" ht="46.5" customHeight="1">
      <c r="B8" s="124" t="s">
        <v>268</v>
      </c>
      <c r="C8" s="125" t="s">
        <v>263</v>
      </c>
      <c r="D8" s="125" t="s">
        <v>252</v>
      </c>
      <c r="E8" s="126" t="s">
        <v>269</v>
      </c>
      <c r="F8" s="126" t="s">
        <v>265</v>
      </c>
      <c r="G8" s="129" t="s">
        <v>270</v>
      </c>
      <c r="H8" s="479" t="s">
        <v>267</v>
      </c>
      <c r="I8" s="479"/>
      <c r="J8" s="479"/>
      <c r="K8" s="128"/>
    </row>
    <row r="9" spans="2:17" ht="46.5" customHeight="1">
      <c r="B9" s="130" t="s">
        <v>271</v>
      </c>
      <c r="C9" s="125" t="s">
        <v>263</v>
      </c>
      <c r="D9" s="125" t="s">
        <v>252</v>
      </c>
      <c r="E9" s="129" t="s">
        <v>272</v>
      </c>
      <c r="F9" s="126" t="s">
        <v>273</v>
      </c>
      <c r="G9" s="129" t="s">
        <v>274</v>
      </c>
      <c r="H9" s="479" t="s">
        <v>267</v>
      </c>
      <c r="I9" s="479"/>
      <c r="J9" s="479"/>
      <c r="K9" s="128"/>
    </row>
    <row r="10" spans="2:17" ht="46.5" customHeight="1">
      <c r="B10" s="130" t="s">
        <v>275</v>
      </c>
      <c r="C10" s="125" t="s">
        <v>263</v>
      </c>
      <c r="D10" s="125" t="s">
        <v>252</v>
      </c>
      <c r="E10" s="129" t="s">
        <v>276</v>
      </c>
      <c r="F10" s="126" t="s">
        <v>265</v>
      </c>
      <c r="G10" s="129" t="s">
        <v>277</v>
      </c>
      <c r="H10" s="479" t="s">
        <v>267</v>
      </c>
      <c r="I10" s="479"/>
      <c r="J10" s="479"/>
      <c r="K10" s="128"/>
    </row>
    <row r="11" spans="2:17" ht="74.25" customHeight="1">
      <c r="B11" s="131" t="s">
        <v>278</v>
      </c>
      <c r="C11" s="132" t="s">
        <v>263</v>
      </c>
      <c r="D11" s="132" t="s">
        <v>252</v>
      </c>
      <c r="E11" s="133" t="s">
        <v>279</v>
      </c>
      <c r="F11" s="133" t="s">
        <v>280</v>
      </c>
      <c r="G11" s="133" t="s">
        <v>281</v>
      </c>
      <c r="H11" s="548" t="s">
        <v>282</v>
      </c>
      <c r="I11" s="548"/>
      <c r="J11" s="548"/>
      <c r="K11" s="128"/>
    </row>
    <row r="12" spans="2:17" ht="15" customHeight="1">
      <c r="B12" s="134"/>
      <c r="E12" s="120"/>
      <c r="F12" s="120"/>
      <c r="G12" s="120"/>
      <c r="H12" s="120"/>
      <c r="I12" s="120"/>
      <c r="J12" s="120"/>
      <c r="K12" s="120"/>
    </row>
    <row r="13" spans="2:17" ht="15" customHeight="1">
      <c r="B13" s="38" t="s">
        <v>283</v>
      </c>
      <c r="C13" s="38"/>
      <c r="D13" s="38"/>
      <c r="E13" s="38"/>
      <c r="F13" s="38"/>
      <c r="G13" s="38"/>
      <c r="H13" s="38"/>
      <c r="I13" s="119"/>
      <c r="J13" s="119"/>
    </row>
    <row r="14" spans="2:17" ht="4.5" customHeight="1"/>
    <row r="15" spans="2:17" ht="20.25" customHeight="1">
      <c r="B15" s="22" t="s">
        <v>284</v>
      </c>
      <c r="E15" s="120"/>
      <c r="F15" s="120"/>
      <c r="G15" s="120"/>
      <c r="H15" s="120"/>
    </row>
    <row r="16" spans="2:17" ht="18" customHeight="1">
      <c r="B16" s="121" t="s">
        <v>37</v>
      </c>
      <c r="C16" s="549" t="s">
        <v>244</v>
      </c>
      <c r="D16" s="549"/>
      <c r="E16" s="122" t="s">
        <v>246</v>
      </c>
      <c r="F16" s="122" t="s">
        <v>29</v>
      </c>
      <c r="G16" s="123" t="s">
        <v>248</v>
      </c>
      <c r="H16" s="549" t="s">
        <v>249</v>
      </c>
      <c r="I16" s="549"/>
      <c r="J16" s="549"/>
    </row>
    <row r="17" spans="2:10" ht="131.25" customHeight="1">
      <c r="B17" s="124" t="s">
        <v>285</v>
      </c>
      <c r="C17" s="550" t="s">
        <v>286</v>
      </c>
      <c r="D17" s="550"/>
      <c r="E17" s="126" t="s">
        <v>287</v>
      </c>
      <c r="F17" s="126" t="s">
        <v>288</v>
      </c>
      <c r="G17" s="126" t="s">
        <v>289</v>
      </c>
      <c r="H17" s="551" t="s">
        <v>290</v>
      </c>
      <c r="I17" s="551"/>
      <c r="J17" s="551"/>
    </row>
    <row r="18" spans="2:10" ht="4.5" customHeight="1">
      <c r="C18" s="135"/>
      <c r="E18" s="120"/>
      <c r="F18" s="120"/>
      <c r="G18" s="136"/>
      <c r="H18" s="136"/>
    </row>
    <row r="19" spans="2:10" ht="20.25" customHeight="1">
      <c r="B19" s="22" t="s">
        <v>291</v>
      </c>
      <c r="E19" s="120"/>
      <c r="F19" s="120"/>
      <c r="G19" s="120"/>
      <c r="H19" s="120"/>
    </row>
    <row r="20" spans="2:10" ht="18" customHeight="1">
      <c r="B20" s="137" t="s">
        <v>37</v>
      </c>
      <c r="C20" s="552" t="s">
        <v>244</v>
      </c>
      <c r="D20" s="552"/>
      <c r="E20" s="138" t="s">
        <v>246</v>
      </c>
      <c r="F20" s="138" t="s">
        <v>29</v>
      </c>
      <c r="G20" s="123" t="s">
        <v>248</v>
      </c>
      <c r="H20" s="549" t="s">
        <v>249</v>
      </c>
      <c r="I20" s="549"/>
      <c r="J20" s="549"/>
    </row>
    <row r="21" spans="2:10" ht="99.75" customHeight="1">
      <c r="B21" s="124" t="s">
        <v>292</v>
      </c>
      <c r="C21" s="550" t="s">
        <v>286</v>
      </c>
      <c r="D21" s="550"/>
      <c r="E21" s="126" t="s">
        <v>293</v>
      </c>
      <c r="F21" s="126" t="s">
        <v>294</v>
      </c>
      <c r="G21" s="126" t="s">
        <v>295</v>
      </c>
      <c r="H21" s="480" t="s">
        <v>296</v>
      </c>
      <c r="I21" s="480"/>
      <c r="J21" s="480"/>
    </row>
    <row r="22" spans="2:10" ht="99" customHeight="1">
      <c r="B22" s="124" t="s">
        <v>297</v>
      </c>
      <c r="C22" s="550" t="s">
        <v>286</v>
      </c>
      <c r="D22" s="550"/>
      <c r="E22" s="126" t="s">
        <v>298</v>
      </c>
      <c r="F22" s="126" t="s">
        <v>299</v>
      </c>
      <c r="G22" s="126" t="s">
        <v>300</v>
      </c>
      <c r="H22" s="479" t="s">
        <v>301</v>
      </c>
      <c r="I22" s="479"/>
      <c r="J22" s="479"/>
    </row>
    <row r="23" spans="2:10" ht="99" customHeight="1">
      <c r="B23" s="124" t="s">
        <v>302</v>
      </c>
      <c r="C23" s="550" t="s">
        <v>286</v>
      </c>
      <c r="D23" s="550"/>
      <c r="E23" s="126" t="s">
        <v>303</v>
      </c>
      <c r="F23" s="126" t="s">
        <v>304</v>
      </c>
      <c r="G23" s="126" t="s">
        <v>305</v>
      </c>
      <c r="H23" s="479" t="s">
        <v>306</v>
      </c>
      <c r="I23" s="479"/>
      <c r="J23" s="479"/>
    </row>
    <row r="24" spans="2:10" ht="15" customHeight="1">
      <c r="B24" s="139" t="s">
        <v>307</v>
      </c>
    </row>
  </sheetData>
  <mergeCells count="20">
    <mergeCell ref="C22:D22"/>
    <mergeCell ref="H22:J22"/>
    <mergeCell ref="C23:D23"/>
    <mergeCell ref="H23:J23"/>
    <mergeCell ref="C17:D17"/>
    <mergeCell ref="H17:J17"/>
    <mergeCell ref="C20:D20"/>
    <mergeCell ref="H20:J20"/>
    <mergeCell ref="C21:D21"/>
    <mergeCell ref="H21:J21"/>
    <mergeCell ref="H9:J9"/>
    <mergeCell ref="H10:J10"/>
    <mergeCell ref="H11:J11"/>
    <mergeCell ref="C16:D16"/>
    <mergeCell ref="H16:J16"/>
    <mergeCell ref="H4:J4"/>
    <mergeCell ref="H5:J5"/>
    <mergeCell ref="H6:J6"/>
    <mergeCell ref="H7:J7"/>
    <mergeCell ref="H8:J8"/>
  </mergeCells>
  <phoneticPr fontId="77"/>
  <dataValidations count="2">
    <dataValidation type="list" allowBlank="1" showInputMessage="1" showErrorMessage="1" sqref="C5:C11 D22:D23" xr:uid="{00000000-0002-0000-0600-000000000000}">
      <formula1>"内諾済,打診中,検討中"</formula1>
      <formula2>0</formula2>
    </dataValidation>
    <dataValidation type="list" allowBlank="1" showInputMessage="1" showErrorMessage="1" sqref="D5:D11" xr:uid="{00000000-0002-0000-0600-000001000000}">
      <formula1>"産,官,学"</formula1>
      <formula2>0</formula2>
    </dataValidation>
  </dataValidations>
  <pageMargins left="0.70833333333333304" right="0.70833333333333304" top="0.74791666666666701" bottom="0.74791666666666701" header="0.511811023622047" footer="0.511811023622047"/>
  <pageSetup paperSize="9" fitToHeight="0"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pageSetUpPr fitToPage="1"/>
  </sheetPr>
  <dimension ref="B1:I25"/>
  <sheetViews>
    <sheetView topLeftCell="A19" zoomScaleNormal="100" workbookViewId="0">
      <selection activeCell="E9" sqref="E9:H9"/>
    </sheetView>
  </sheetViews>
  <sheetFormatPr defaultColWidth="8.1640625" defaultRowHeight="15.5"/>
  <cols>
    <col min="1" max="1" width="1.6640625" style="22" customWidth="1"/>
    <col min="2" max="4" width="13" style="22" customWidth="1"/>
    <col min="5" max="8" width="19.1640625" style="22" customWidth="1"/>
    <col min="9" max="9" width="1.6640625" style="22" customWidth="1"/>
    <col min="10" max="16384" width="8.1640625" style="22"/>
  </cols>
  <sheetData>
    <row r="1" spans="2:9" ht="19.5" customHeight="1">
      <c r="B1" s="38" t="s">
        <v>308</v>
      </c>
      <c r="C1" s="119"/>
      <c r="D1" s="119"/>
      <c r="E1" s="119"/>
      <c r="F1" s="140"/>
      <c r="G1" s="140"/>
      <c r="H1" s="140"/>
    </row>
    <row r="2" spans="2:9" ht="6" customHeight="1">
      <c r="B2" s="141"/>
      <c r="C2" s="141"/>
      <c r="D2" s="141"/>
    </row>
    <row r="3" spans="2:9" ht="21" customHeight="1" thickBot="1">
      <c r="B3" s="37" t="s">
        <v>309</v>
      </c>
      <c r="C3" s="37"/>
      <c r="D3" s="37"/>
    </row>
    <row r="4" spans="2:9" ht="30" customHeight="1" thickBot="1">
      <c r="B4" s="421" t="s">
        <v>310</v>
      </c>
      <c r="C4" s="421"/>
      <c r="D4" s="142" t="s">
        <v>311</v>
      </c>
      <c r="E4" s="554" t="s">
        <v>312</v>
      </c>
      <c r="F4" s="554"/>
      <c r="G4" s="554"/>
      <c r="H4" s="555"/>
      <c r="I4" s="143"/>
    </row>
    <row r="5" spans="2:9" ht="60" customHeight="1" thickBot="1">
      <c r="B5" s="421"/>
      <c r="C5" s="421"/>
      <c r="D5" s="144" t="s">
        <v>313</v>
      </c>
      <c r="E5" s="556" t="s">
        <v>314</v>
      </c>
      <c r="F5" s="556"/>
      <c r="G5" s="556"/>
      <c r="H5" s="557"/>
      <c r="I5" s="145"/>
    </row>
    <row r="6" spans="2:9" ht="60" customHeight="1" thickBot="1">
      <c r="B6" s="553"/>
      <c r="C6" s="553"/>
      <c r="D6" s="146" t="s">
        <v>315</v>
      </c>
      <c r="E6" s="558" t="s">
        <v>316</v>
      </c>
      <c r="F6" s="558"/>
      <c r="G6" s="558"/>
      <c r="H6" s="559"/>
      <c r="I6" s="145"/>
    </row>
    <row r="7" spans="2:9" ht="13.5" customHeight="1" thickBot="1">
      <c r="B7" s="147"/>
      <c r="C7" s="147"/>
      <c r="D7" s="145"/>
      <c r="E7" s="148"/>
      <c r="F7" s="148"/>
      <c r="G7" s="148"/>
      <c r="H7" s="148"/>
      <c r="I7" s="145"/>
    </row>
    <row r="8" spans="2:9" ht="30.75" customHeight="1" thickBot="1">
      <c r="B8" s="560" t="s">
        <v>317</v>
      </c>
      <c r="C8" s="560"/>
      <c r="D8" s="142" t="s">
        <v>311</v>
      </c>
      <c r="E8" s="562" t="s">
        <v>318</v>
      </c>
      <c r="F8" s="562"/>
      <c r="G8" s="562"/>
      <c r="H8" s="563"/>
      <c r="I8" s="143"/>
    </row>
    <row r="9" spans="2:9" ht="87" customHeight="1" thickBot="1">
      <c r="B9" s="560"/>
      <c r="C9" s="560"/>
      <c r="D9" s="144" t="s">
        <v>313</v>
      </c>
      <c r="E9" s="556" t="s">
        <v>319</v>
      </c>
      <c r="F9" s="556"/>
      <c r="G9" s="556"/>
      <c r="H9" s="557"/>
      <c r="I9" s="145"/>
    </row>
    <row r="10" spans="2:9" ht="51" customHeight="1" thickBot="1">
      <c r="B10" s="561"/>
      <c r="C10" s="561"/>
      <c r="D10" s="146" t="s">
        <v>315</v>
      </c>
      <c r="E10" s="558" t="s">
        <v>320</v>
      </c>
      <c r="F10" s="558"/>
      <c r="G10" s="558"/>
      <c r="H10" s="559"/>
      <c r="I10" s="145"/>
    </row>
    <row r="11" spans="2:9" ht="4.5" customHeight="1">
      <c r="B11" s="145"/>
      <c r="C11" s="145"/>
      <c r="D11" s="145"/>
      <c r="E11" s="148"/>
      <c r="F11" s="148"/>
      <c r="G11" s="148"/>
      <c r="H11" s="148"/>
      <c r="I11" s="145"/>
    </row>
    <row r="12" spans="2:9" ht="21" customHeight="1" thickBot="1">
      <c r="B12" s="37" t="s">
        <v>321</v>
      </c>
      <c r="C12" s="145"/>
      <c r="D12" s="145"/>
      <c r="E12" s="148"/>
      <c r="F12" s="148"/>
      <c r="G12" s="148"/>
      <c r="H12" s="148"/>
      <c r="I12" s="145"/>
    </row>
    <row r="13" spans="2:9" ht="30" customHeight="1" thickBot="1">
      <c r="B13" s="560" t="s">
        <v>322</v>
      </c>
      <c r="C13" s="560"/>
      <c r="D13" s="142" t="s">
        <v>311</v>
      </c>
      <c r="E13" s="554" t="s">
        <v>323</v>
      </c>
      <c r="F13" s="554"/>
      <c r="G13" s="554"/>
      <c r="H13" s="555"/>
      <c r="I13" s="145"/>
    </row>
    <row r="14" spans="2:9" ht="104.25" customHeight="1" thickBot="1">
      <c r="B14" s="560"/>
      <c r="C14" s="560"/>
      <c r="D14" s="144" t="s">
        <v>313</v>
      </c>
      <c r="E14" s="556" t="s">
        <v>324</v>
      </c>
      <c r="F14" s="556"/>
      <c r="G14" s="556"/>
      <c r="H14" s="557"/>
      <c r="I14" s="145"/>
    </row>
    <row r="15" spans="2:9" ht="44.25" customHeight="1" thickBot="1">
      <c r="B15" s="561"/>
      <c r="C15" s="561"/>
      <c r="D15" s="146" t="s">
        <v>315</v>
      </c>
      <c r="E15" s="558" t="s">
        <v>325</v>
      </c>
      <c r="F15" s="558"/>
      <c r="G15" s="558"/>
      <c r="H15" s="559"/>
      <c r="I15" s="145"/>
    </row>
    <row r="16" spans="2:9" ht="13.5" customHeight="1" thickBot="1">
      <c r="E16" s="16"/>
      <c r="F16" s="16"/>
      <c r="G16" s="16"/>
      <c r="H16" s="16"/>
    </row>
    <row r="17" spans="2:8" ht="30" customHeight="1" thickBot="1">
      <c r="B17" s="564" t="s">
        <v>326</v>
      </c>
      <c r="C17" s="564"/>
      <c r="D17" s="142" t="s">
        <v>327</v>
      </c>
      <c r="E17" s="562" t="s">
        <v>328</v>
      </c>
      <c r="F17" s="562"/>
      <c r="G17" s="562"/>
      <c r="H17" s="563"/>
    </row>
    <row r="18" spans="2:8" ht="30" customHeight="1" thickBot="1">
      <c r="B18" s="564"/>
      <c r="C18" s="564"/>
      <c r="D18" s="149" t="s">
        <v>311</v>
      </c>
      <c r="E18" s="557" t="s">
        <v>329</v>
      </c>
      <c r="F18" s="557"/>
      <c r="G18" s="557"/>
      <c r="H18" s="557"/>
    </row>
    <row r="19" spans="2:8" ht="60" customHeight="1" thickBot="1">
      <c r="B19" s="564"/>
      <c r="C19" s="564"/>
      <c r="D19" s="144" t="s">
        <v>313</v>
      </c>
      <c r="E19" s="566" t="s">
        <v>330</v>
      </c>
      <c r="F19" s="566"/>
      <c r="G19" s="566"/>
      <c r="H19" s="567"/>
    </row>
    <row r="20" spans="2:8" ht="79.5" customHeight="1" thickBot="1">
      <c r="B20" s="565"/>
      <c r="C20" s="565"/>
      <c r="D20" s="146" t="s">
        <v>315</v>
      </c>
      <c r="E20" s="558" t="s">
        <v>331</v>
      </c>
      <c r="F20" s="558"/>
      <c r="G20" s="558"/>
      <c r="H20" s="559"/>
    </row>
    <row r="21" spans="2:8" ht="14.25" customHeight="1" thickBot="1">
      <c r="E21" s="16"/>
      <c r="F21" s="16"/>
      <c r="G21" s="16"/>
      <c r="H21" s="16"/>
    </row>
    <row r="22" spans="2:8" ht="28.5" customHeight="1" thickBot="1">
      <c r="B22" s="564" t="s">
        <v>332</v>
      </c>
      <c r="C22" s="564"/>
      <c r="D22" s="142" t="s">
        <v>327</v>
      </c>
      <c r="E22" s="562" t="s">
        <v>333</v>
      </c>
      <c r="F22" s="562"/>
      <c r="G22" s="562"/>
      <c r="H22" s="563"/>
    </row>
    <row r="23" spans="2:8" ht="55" customHeight="1" thickBot="1">
      <c r="B23" s="564"/>
      <c r="C23" s="564"/>
      <c r="D23" s="150" t="s">
        <v>311</v>
      </c>
      <c r="E23" s="567" t="s">
        <v>334</v>
      </c>
      <c r="F23" s="567"/>
      <c r="G23" s="567"/>
      <c r="H23" s="567"/>
    </row>
    <row r="24" spans="2:8" ht="45" customHeight="1" thickBot="1">
      <c r="B24" s="564"/>
      <c r="C24" s="564"/>
      <c r="D24" s="144" t="s">
        <v>313</v>
      </c>
      <c r="E24" s="566" t="s">
        <v>335</v>
      </c>
      <c r="F24" s="566"/>
      <c r="G24" s="566"/>
      <c r="H24" s="567"/>
    </row>
    <row r="25" spans="2:8" ht="51.5" customHeight="1" thickBot="1">
      <c r="B25" s="565"/>
      <c r="C25" s="565"/>
      <c r="D25" s="146" t="s">
        <v>315</v>
      </c>
      <c r="E25" s="558" t="s">
        <v>336</v>
      </c>
      <c r="F25" s="558"/>
      <c r="G25" s="558"/>
      <c r="H25" s="559"/>
    </row>
  </sheetData>
  <mergeCells count="22">
    <mergeCell ref="B22:C25"/>
    <mergeCell ref="E22:H22"/>
    <mergeCell ref="E23:H23"/>
    <mergeCell ref="E24:H24"/>
    <mergeCell ref="E25:H25"/>
    <mergeCell ref="B13:C15"/>
    <mergeCell ref="E13:H13"/>
    <mergeCell ref="E14:H14"/>
    <mergeCell ref="E15:H15"/>
    <mergeCell ref="B17:C20"/>
    <mergeCell ref="E17:H17"/>
    <mergeCell ref="E18:H18"/>
    <mergeCell ref="E19:H19"/>
    <mergeCell ref="E20:H20"/>
    <mergeCell ref="B4:C6"/>
    <mergeCell ref="E4:H4"/>
    <mergeCell ref="E5:H5"/>
    <mergeCell ref="E6:H6"/>
    <mergeCell ref="B8:C10"/>
    <mergeCell ref="E8:H8"/>
    <mergeCell ref="E9:H9"/>
    <mergeCell ref="E10:H10"/>
  </mergeCells>
  <phoneticPr fontId="77"/>
  <pageMargins left="0.70833333333333304" right="0.70833333333333304" top="0.74791666666666701" bottom="0.74791666666666701" header="0.511811023622047" footer="0.511811023622047"/>
  <pageSetup paperSize="9" fitToHeight="0"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pageSetUpPr fitToPage="1"/>
  </sheetPr>
  <dimension ref="A1:K43"/>
  <sheetViews>
    <sheetView topLeftCell="A11" zoomScaleNormal="100" workbookViewId="0">
      <selection activeCell="C17" sqref="C17"/>
    </sheetView>
  </sheetViews>
  <sheetFormatPr defaultColWidth="9" defaultRowHeight="13"/>
  <cols>
    <col min="1" max="1" width="20.6640625" style="151" customWidth="1"/>
    <col min="2" max="2" width="37" style="151" customWidth="1"/>
    <col min="3" max="3" width="34.1640625" style="152" customWidth="1"/>
    <col min="4" max="4" width="7.4140625" style="151" customWidth="1"/>
    <col min="5" max="5" width="11.5" style="151" customWidth="1"/>
    <col min="6" max="6" width="15.6640625" style="151" customWidth="1"/>
    <col min="7" max="16384" width="9" style="151"/>
  </cols>
  <sheetData>
    <row r="1" spans="1:11" s="22" customFormat="1" ht="19.5" customHeight="1">
      <c r="A1" s="525" t="s">
        <v>337</v>
      </c>
      <c r="B1" s="525"/>
      <c r="C1" s="525"/>
      <c r="D1" s="38"/>
      <c r="E1" s="38"/>
      <c r="F1" s="38"/>
      <c r="G1" s="38"/>
      <c r="H1" s="38"/>
      <c r="I1" s="38"/>
      <c r="J1" s="38"/>
      <c r="K1" s="38"/>
    </row>
    <row r="2" spans="1:11" ht="10.5" customHeight="1">
      <c r="C2" s="151"/>
    </row>
    <row r="3" spans="1:11" ht="15" customHeight="1">
      <c r="A3" s="153" t="s">
        <v>338</v>
      </c>
      <c r="C3" s="151"/>
    </row>
    <row r="4" spans="1:11" ht="15" customHeight="1">
      <c r="A4" s="153"/>
      <c r="C4" s="151"/>
    </row>
    <row r="5" spans="1:11" s="154" customFormat="1" ht="15.75" customHeight="1">
      <c r="A5" s="154" t="s">
        <v>339</v>
      </c>
      <c r="C5" s="155"/>
      <c r="D5" s="156"/>
      <c r="E5" s="157"/>
    </row>
    <row r="6" spans="1:11" s="154" customFormat="1" ht="15.75" customHeight="1">
      <c r="A6" s="571" t="s">
        <v>340</v>
      </c>
      <c r="B6" s="571"/>
      <c r="C6" s="571"/>
      <c r="D6" s="156"/>
      <c r="E6" s="157"/>
    </row>
    <row r="7" spans="1:11" s="154" customFormat="1" ht="15.75" customHeight="1">
      <c r="A7" s="158" t="s">
        <v>341</v>
      </c>
      <c r="B7" s="159"/>
    </row>
    <row r="8" spans="1:11" s="154" customFormat="1" ht="15.75" customHeight="1">
      <c r="A8" s="158" t="s">
        <v>342</v>
      </c>
      <c r="B8" s="159"/>
    </row>
    <row r="9" spans="1:11" s="154" customFormat="1" ht="15.75" customHeight="1">
      <c r="A9" s="158" t="s">
        <v>343</v>
      </c>
      <c r="B9" s="159"/>
    </row>
    <row r="10" spans="1:11" s="154" customFormat="1" ht="15.75" customHeight="1">
      <c r="A10" s="158"/>
      <c r="B10" s="159"/>
      <c r="E10" s="160" t="s">
        <v>344</v>
      </c>
    </row>
    <row r="11" spans="1:11" s="154" customFormat="1" ht="30" customHeight="1">
      <c r="A11" s="158"/>
      <c r="B11" s="161" t="s">
        <v>345</v>
      </c>
      <c r="C11" s="162" t="s">
        <v>346</v>
      </c>
      <c r="E11" s="163" t="str">
        <f>LEFT(C11,1)</f>
        <v>【</v>
      </c>
    </row>
    <row r="12" spans="1:11" ht="15" customHeight="1">
      <c r="C12" s="164"/>
    </row>
    <row r="13" spans="1:11" s="168" customFormat="1" ht="30" customHeight="1">
      <c r="A13" s="165" t="s">
        <v>347</v>
      </c>
      <c r="B13" s="166" t="s">
        <v>245</v>
      </c>
      <c r="C13" s="167" t="s">
        <v>348</v>
      </c>
    </row>
    <row r="14" spans="1:11" ht="18.75" customHeight="1">
      <c r="A14" s="169" t="s">
        <v>349</v>
      </c>
      <c r="B14" s="170" t="s">
        <v>350</v>
      </c>
      <c r="C14" s="171">
        <f>'経費予定額(令和8年度・1年目) '!L18+'経費予定額(令和9年度・2年目)'!L18+'経費予定額(令和10年度・3年目)'!L18</f>
        <v>52997</v>
      </c>
    </row>
    <row r="15" spans="1:11" ht="18.75" customHeight="1">
      <c r="A15" s="572" t="s">
        <v>351</v>
      </c>
      <c r="B15" s="170" t="s">
        <v>352</v>
      </c>
      <c r="C15" s="172">
        <f>'経費予定額(令和8年度・1年目) '!L26+'経費予定額(令和9年度・2年目)'!L26+'経費予定額(令和10年度・3年目)'!L26</f>
        <v>10260</v>
      </c>
    </row>
    <row r="16" spans="1:11" ht="18.75" customHeight="1">
      <c r="A16" s="572"/>
      <c r="B16" s="170" t="s">
        <v>353</v>
      </c>
      <c r="C16" s="172">
        <f>'経費予定額(令和8年度・1年目) '!L31+'経費予定額(令和9年度・2年目)'!L31+'経費予定額(令和10年度・3年目)'!L31</f>
        <v>6000</v>
      </c>
    </row>
    <row r="17" spans="1:6" ht="18.75" customHeight="1">
      <c r="A17" s="572"/>
      <c r="B17" s="170" t="s">
        <v>354</v>
      </c>
      <c r="C17" s="172">
        <f>'経費予定額(令和8年度・1年目) '!L36+'経費予定額(令和9年度・2年目)'!L36+'経費予定額(令和10年度・3年目)'!L36</f>
        <v>104040</v>
      </c>
    </row>
    <row r="18" spans="1:6" ht="18.75" customHeight="1">
      <c r="A18" s="572"/>
      <c r="B18" s="170" t="s">
        <v>355</v>
      </c>
      <c r="C18" s="172">
        <f>'経費予定額(令和8年度・1年目) '!L41+'経費予定額(令和9年度・2年目)'!L41+'経費予定額(令和10年度・3年目)'!L41</f>
        <v>1350</v>
      </c>
    </row>
    <row r="19" spans="1:6" ht="18.75" customHeight="1">
      <c r="A19" s="572"/>
      <c r="B19" s="170" t="s">
        <v>356</v>
      </c>
      <c r="C19" s="172">
        <f>'経費予定額(令和8年度・1年目) '!L46+'経費予定額(令和9年度・2年目)'!L46+'経費予定額(令和10年度・3年目)'!L46</f>
        <v>3390</v>
      </c>
    </row>
    <row r="20" spans="1:6" ht="18.75" customHeight="1">
      <c r="A20" s="572"/>
      <c r="B20" s="173" t="s">
        <v>357</v>
      </c>
      <c r="C20" s="172">
        <f>'経費予定額(令和8年度・1年目) '!L51+'経費予定額(令和9年度・2年目)'!L51+'経費予定額(令和10年度・3年目)'!L51</f>
        <v>2520</v>
      </c>
    </row>
    <row r="21" spans="1:6" ht="18.75" customHeight="1">
      <c r="A21" s="572"/>
      <c r="B21" s="170" t="s">
        <v>358</v>
      </c>
      <c r="C21" s="172">
        <f>'経費予定額(令和8年度・1年目) '!L57+'経費予定額(令和9年度・2年目)'!L57+'経費予定額(令和10年度・3年目)'!L57</f>
        <v>7410</v>
      </c>
    </row>
    <row r="22" spans="1:6" ht="18.75" customHeight="1">
      <c r="A22" s="572"/>
      <c r="B22" s="170" t="s">
        <v>359</v>
      </c>
      <c r="C22" s="172">
        <f>'経費予定額(令和8年度・1年目) '!L62+'経費予定額(令和9年度・2年目)'!L62+'経費予定額(令和10年度・3年目)'!L62</f>
        <v>180</v>
      </c>
      <c r="E22" s="174" t="s">
        <v>360</v>
      </c>
      <c r="F22" s="152">
        <f>SUM(C15:C22)</f>
        <v>135150</v>
      </c>
    </row>
    <row r="23" spans="1:6" ht="18.75" customHeight="1">
      <c r="A23" s="568" t="s">
        <v>361</v>
      </c>
      <c r="B23" s="568"/>
      <c r="C23" s="172">
        <f>'経費予定額(令和8年度・1年目) '!L63+'経費予定額(令和9年度・2年目)'!L63+'経費予定額(令和10年度・3年目)'!L63</f>
        <v>15000</v>
      </c>
    </row>
    <row r="24" spans="1:6" ht="22.5" customHeight="1">
      <c r="A24" s="568" t="s">
        <v>362</v>
      </c>
      <c r="B24" s="568"/>
      <c r="C24" s="175">
        <f>SUM(C14:C23)</f>
        <v>203147</v>
      </c>
    </row>
    <row r="25" spans="1:6" ht="22.5" customHeight="1">
      <c r="A25" s="568" t="s">
        <v>363</v>
      </c>
      <c r="B25" s="568"/>
      <c r="C25" s="175">
        <f>'経費予定額(令和8年度・1年目) '!L68+'経費予定額(令和9年度・2年目)'!L68+'経費予定額(令和10年度・3年目)'!L68</f>
        <v>11829</v>
      </c>
    </row>
    <row r="26" spans="1:6" ht="22.5" customHeight="1">
      <c r="A26" s="569" t="s">
        <v>364</v>
      </c>
      <c r="B26" s="569"/>
      <c r="C26" s="176">
        <f>IF(OR($E$11="2",$E$11="3"),$C$24,$C$24-$C$25)</f>
        <v>191318</v>
      </c>
    </row>
    <row r="27" spans="1:6" ht="22.5" customHeight="1">
      <c r="A27" s="569" t="s">
        <v>365</v>
      </c>
      <c r="B27" s="569"/>
      <c r="C27" s="177">
        <f>'経費予定額(令和8年度・1年目) '!L75+'経費予定額(令和9年度・2年目)'!L75+'経費予定額(令和10年度・3年目)'!L75</f>
        <v>0</v>
      </c>
    </row>
    <row r="28" spans="1:6" ht="22.5" customHeight="1">
      <c r="A28" s="570" t="s">
        <v>366</v>
      </c>
      <c r="B28" s="570"/>
      <c r="C28" s="178">
        <f>C24-C27</f>
        <v>203147</v>
      </c>
    </row>
    <row r="29" spans="1:6" ht="13.5" customHeight="1">
      <c r="C29" s="179"/>
    </row>
    <row r="30" spans="1:6" ht="22.5" customHeight="1">
      <c r="B30" s="180" t="s">
        <v>367</v>
      </c>
      <c r="C30" s="181">
        <f>MIN(200000, C31)</f>
        <v>191318</v>
      </c>
      <c r="D30" s="153" t="s">
        <v>368</v>
      </c>
    </row>
    <row r="31" spans="1:6" ht="22.5" customHeight="1">
      <c r="B31" s="182" t="s">
        <v>369</v>
      </c>
      <c r="C31" s="183">
        <f>MIN(C26,C28)</f>
        <v>191318</v>
      </c>
      <c r="D31" s="153" t="s">
        <v>370</v>
      </c>
    </row>
    <row r="34" ht="71.25" customHeight="1"/>
    <row r="37" ht="45" customHeight="1"/>
    <row r="40" ht="45" customHeight="1"/>
    <row r="43" ht="98.25" customHeight="1"/>
  </sheetData>
  <mergeCells count="9">
    <mergeCell ref="A25:B25"/>
    <mergeCell ref="A26:B26"/>
    <mergeCell ref="A27:B27"/>
    <mergeCell ref="A28:B28"/>
    <mergeCell ref="A1:C1"/>
    <mergeCell ref="A6:C6"/>
    <mergeCell ref="A15:A22"/>
    <mergeCell ref="A23:B23"/>
    <mergeCell ref="A24:B24"/>
  </mergeCells>
  <phoneticPr fontId="77"/>
  <conditionalFormatting sqref="C25">
    <cfRule type="expression" dxfId="7" priority="2">
      <formula>$E$11="2"</formula>
    </cfRule>
    <cfRule type="expression" dxfId="6" priority="3">
      <formula>$E$11="3"</formula>
    </cfRule>
  </conditionalFormatting>
  <dataValidations count="1">
    <dataValidation type="list" allowBlank="1" showInputMessage="1" showErrorMessage="1" sqref="C11" xr:uid="{00000000-0002-0000-0800-000000000000}">
      <formula1>"選択してください,1 課税事業者,2 免税事業者及び簡易課税事業者,3 課税事業者ではあるが、その他条件により消費税等仕入控除調整を行わない事業者"</formula1>
      <formula2>0</formula2>
    </dataValidation>
  </dataValidations>
  <pageMargins left="0.51180555555555596" right="0.51180555555555596" top="0.55138888888888904" bottom="0.55138888888888904" header="0.511811023622047" footer="0.511811023622047"/>
  <pageSetup paperSize="9" fitToHeight="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pageSetUpPr fitToPage="1"/>
  </sheetPr>
  <dimension ref="A1:Y131"/>
  <sheetViews>
    <sheetView zoomScaleNormal="100" workbookViewId="0">
      <selection activeCell="K35" sqref="K35"/>
    </sheetView>
  </sheetViews>
  <sheetFormatPr defaultColWidth="9" defaultRowHeight="13"/>
  <cols>
    <col min="1" max="1" width="7.5" style="151" customWidth="1"/>
    <col min="2" max="2" width="3.6640625" style="151" customWidth="1"/>
    <col min="3" max="3" width="5.6640625" style="151" customWidth="1"/>
    <col min="4" max="4" width="27.4140625" style="184" customWidth="1"/>
    <col min="5" max="5" width="5.4140625" style="185" customWidth="1"/>
    <col min="6" max="6" width="5.9140625" style="186" customWidth="1"/>
    <col min="7" max="7" width="6.1640625" style="185" customWidth="1"/>
    <col min="8" max="8" width="6.6640625" style="186" customWidth="1"/>
    <col min="9" max="9" width="5.6640625" style="185" customWidth="1"/>
    <col min="10" max="10" width="5.6640625" style="186" customWidth="1"/>
    <col min="11" max="12" width="12.5" style="152" customWidth="1"/>
    <col min="13" max="13" width="5.6640625" style="187" customWidth="1"/>
    <col min="14" max="14" width="7.5" style="187" customWidth="1"/>
    <col min="15" max="15" width="7.4140625" style="151" customWidth="1"/>
    <col min="16" max="16" width="10.6640625" style="151" customWidth="1"/>
    <col min="17" max="17" width="9" style="151"/>
    <col min="18" max="18" width="3.6640625" style="151" customWidth="1"/>
    <col min="19" max="19" width="5.1640625" style="151" customWidth="1"/>
    <col min="20" max="20" width="9" style="151"/>
    <col min="21" max="21" width="3.9140625" style="151" customWidth="1"/>
    <col min="22" max="22" width="5.1640625" style="151" customWidth="1"/>
    <col min="23" max="23" width="9" style="151"/>
    <col min="24" max="24" width="13.1640625" style="151" customWidth="1"/>
    <col min="25" max="16384" width="9" style="151"/>
  </cols>
  <sheetData>
    <row r="1" spans="1:16" ht="22.5" customHeight="1">
      <c r="A1" s="174" t="s">
        <v>371</v>
      </c>
      <c r="G1" s="151"/>
      <c r="H1" s="151"/>
      <c r="I1" s="151"/>
      <c r="J1" s="151"/>
      <c r="K1" s="151"/>
      <c r="L1" s="151"/>
      <c r="M1" s="151"/>
      <c r="N1" s="151"/>
    </row>
    <row r="2" spans="1:16" ht="15" customHeight="1">
      <c r="A2" s="153" t="s">
        <v>372</v>
      </c>
      <c r="G2" s="151"/>
      <c r="H2" s="151"/>
      <c r="I2" s="151"/>
      <c r="J2" s="151"/>
      <c r="K2" s="151"/>
      <c r="L2" s="151"/>
      <c r="M2" s="151"/>
      <c r="N2" s="151"/>
    </row>
    <row r="3" spans="1:16" ht="15" customHeight="1">
      <c r="A3" s="153"/>
      <c r="G3" s="151"/>
      <c r="H3" s="151"/>
      <c r="I3" s="151"/>
      <c r="J3" s="151"/>
      <c r="K3" s="151"/>
      <c r="L3" s="151"/>
      <c r="M3" s="151"/>
      <c r="N3" s="151"/>
    </row>
    <row r="4" spans="1:16" s="154" customFormat="1" ht="15.75" customHeight="1">
      <c r="A4" s="157" t="s">
        <v>373</v>
      </c>
      <c r="B4" s="154" t="s">
        <v>374</v>
      </c>
      <c r="D4" s="159"/>
      <c r="F4" s="188"/>
      <c r="H4" s="188"/>
      <c r="K4" s="157"/>
      <c r="L4" s="155"/>
      <c r="M4" s="189"/>
      <c r="N4" s="189"/>
      <c r="O4" s="156"/>
      <c r="P4" s="157"/>
    </row>
    <row r="5" spans="1:16" s="154" customFormat="1" ht="15.75" customHeight="1">
      <c r="A5" s="157" t="s">
        <v>373</v>
      </c>
      <c r="B5" s="154" t="s">
        <v>375</v>
      </c>
      <c r="D5" s="159"/>
      <c r="F5" s="188"/>
      <c r="H5" s="188"/>
      <c r="K5" s="157"/>
      <c r="L5" s="155"/>
      <c r="M5" s="189"/>
      <c r="N5" s="189"/>
      <c r="O5" s="156"/>
      <c r="P5" s="157"/>
    </row>
    <row r="6" spans="1:16" s="154" customFormat="1" ht="15.75" customHeight="1">
      <c r="A6" s="157" t="s">
        <v>373</v>
      </c>
      <c r="B6" s="190"/>
      <c r="C6" s="154" t="s">
        <v>376</v>
      </c>
      <c r="D6" s="159"/>
      <c r="F6" s="188"/>
      <c r="H6" s="188"/>
      <c r="J6" s="188"/>
      <c r="L6" s="156"/>
      <c r="M6" s="191"/>
      <c r="N6" s="191"/>
      <c r="O6" s="156"/>
      <c r="P6" s="157"/>
    </row>
    <row r="7" spans="1:16" s="154" customFormat="1" ht="15.75" customHeight="1">
      <c r="A7" s="157" t="s">
        <v>373</v>
      </c>
      <c r="B7" s="154" t="s">
        <v>377</v>
      </c>
      <c r="C7" s="159"/>
      <c r="E7" s="188"/>
      <c r="G7" s="188"/>
      <c r="I7" s="188"/>
      <c r="J7" s="156"/>
      <c r="K7" s="156"/>
      <c r="M7" s="188"/>
      <c r="N7" s="188"/>
    </row>
    <row r="8" spans="1:16" s="154" customFormat="1" ht="15.75" customHeight="1">
      <c r="A8" s="157" t="s">
        <v>373</v>
      </c>
      <c r="B8" s="154" t="s">
        <v>378</v>
      </c>
      <c r="C8" s="159"/>
      <c r="E8" s="188"/>
      <c r="G8" s="188"/>
      <c r="I8" s="188"/>
      <c r="J8" s="156"/>
      <c r="K8" s="156"/>
      <c r="M8" s="188"/>
      <c r="N8" s="188"/>
    </row>
    <row r="9" spans="1:16" s="154" customFormat="1" ht="15.75" customHeight="1">
      <c r="A9" s="157" t="s">
        <v>373</v>
      </c>
      <c r="B9" s="154" t="s">
        <v>379</v>
      </c>
      <c r="C9" s="159"/>
      <c r="E9" s="188"/>
      <c r="G9" s="188"/>
      <c r="I9" s="188"/>
      <c r="J9" s="156"/>
      <c r="K9" s="156"/>
      <c r="M9" s="188"/>
      <c r="N9" s="188"/>
    </row>
    <row r="10" spans="1:16" s="154" customFormat="1" ht="15.75" customHeight="1">
      <c r="A10" s="157" t="s">
        <v>373</v>
      </c>
      <c r="B10" s="154" t="s">
        <v>380</v>
      </c>
      <c r="C10" s="159"/>
      <c r="E10" s="188"/>
      <c r="G10" s="188"/>
      <c r="I10" s="188"/>
      <c r="J10" s="156"/>
      <c r="K10" s="156"/>
      <c r="M10" s="188"/>
      <c r="N10" s="188"/>
    </row>
    <row r="11" spans="1:16" s="154" customFormat="1" ht="15.75" customHeight="1">
      <c r="A11" s="157" t="s">
        <v>373</v>
      </c>
      <c r="B11" s="154" t="s">
        <v>381</v>
      </c>
      <c r="C11" s="159"/>
      <c r="E11" s="188"/>
      <c r="G11" s="188"/>
      <c r="I11" s="188"/>
      <c r="J11" s="156"/>
      <c r="K11" s="156"/>
      <c r="M11" s="188"/>
      <c r="N11" s="188"/>
    </row>
    <row r="12" spans="1:16" ht="15" customHeight="1">
      <c r="L12" s="164"/>
      <c r="M12" s="164"/>
      <c r="N12" s="192" t="s">
        <v>382</v>
      </c>
    </row>
    <row r="13" spans="1:16" s="168" customFormat="1" ht="30" customHeight="1">
      <c r="A13" s="165" t="s">
        <v>347</v>
      </c>
      <c r="B13" s="573" t="s">
        <v>245</v>
      </c>
      <c r="C13" s="573"/>
      <c r="D13" s="193" t="s">
        <v>383</v>
      </c>
      <c r="E13" s="574" t="s">
        <v>384</v>
      </c>
      <c r="F13" s="574"/>
      <c r="G13" s="573" t="s">
        <v>384</v>
      </c>
      <c r="H13" s="573"/>
      <c r="I13" s="573" t="s">
        <v>384</v>
      </c>
      <c r="J13" s="573"/>
      <c r="K13" s="194" t="s">
        <v>385</v>
      </c>
      <c r="L13" s="195" t="s">
        <v>386</v>
      </c>
      <c r="M13" s="196" t="s">
        <v>387</v>
      </c>
      <c r="N13" s="167" t="s">
        <v>388</v>
      </c>
    </row>
    <row r="14" spans="1:16" ht="18.75" customHeight="1">
      <c r="A14" s="575" t="s">
        <v>349</v>
      </c>
      <c r="B14" s="576" t="s">
        <v>350</v>
      </c>
      <c r="C14" s="576"/>
      <c r="D14" s="197" t="s">
        <v>389</v>
      </c>
      <c r="E14" s="198">
        <v>1</v>
      </c>
      <c r="F14" s="199" t="s">
        <v>390</v>
      </c>
      <c r="G14" s="200">
        <v>6</v>
      </c>
      <c r="H14" s="201" t="s">
        <v>391</v>
      </c>
      <c r="I14" s="202">
        <v>1</v>
      </c>
      <c r="J14" s="201" t="s">
        <v>392</v>
      </c>
      <c r="K14" s="203">
        <v>750000</v>
      </c>
      <c r="L14" s="204">
        <f>IF(ISNUMBER(K14),(ROUNDDOWN(PRODUCT(E14,G14,I14,K14)/1000,0)),"")</f>
        <v>4500</v>
      </c>
      <c r="M14" s="205"/>
      <c r="N14" s="206" t="s">
        <v>393</v>
      </c>
    </row>
    <row r="15" spans="1:16" ht="18.75" customHeight="1">
      <c r="A15" s="575"/>
      <c r="B15" s="576"/>
      <c r="C15" s="576"/>
      <c r="D15" s="207" t="s">
        <v>394</v>
      </c>
      <c r="E15" s="208">
        <v>2</v>
      </c>
      <c r="F15" s="209" t="s">
        <v>390</v>
      </c>
      <c r="G15" s="210">
        <v>6</v>
      </c>
      <c r="H15" s="211" t="s">
        <v>391</v>
      </c>
      <c r="I15" s="212">
        <v>1</v>
      </c>
      <c r="J15" s="211" t="s">
        <v>392</v>
      </c>
      <c r="K15" s="213">
        <v>500000</v>
      </c>
      <c r="L15" s="214">
        <f>IF(ISNUMBER(K15),(ROUNDDOWN(PRODUCT(E15,G15,I15,K15)/1000,0)),"")</f>
        <v>6000</v>
      </c>
      <c r="M15" s="215"/>
      <c r="N15" s="216" t="s">
        <v>393</v>
      </c>
    </row>
    <row r="16" spans="1:16" ht="18.75" customHeight="1">
      <c r="A16" s="575"/>
      <c r="B16" s="576"/>
      <c r="C16" s="576"/>
      <c r="D16" s="207" t="s">
        <v>395</v>
      </c>
      <c r="E16" s="208">
        <v>2</v>
      </c>
      <c r="F16" s="209" t="s">
        <v>390</v>
      </c>
      <c r="G16" s="210">
        <v>6</v>
      </c>
      <c r="H16" s="211" t="s">
        <v>391</v>
      </c>
      <c r="I16" s="212">
        <v>1</v>
      </c>
      <c r="J16" s="211" t="s">
        <v>392</v>
      </c>
      <c r="K16" s="213">
        <v>208333</v>
      </c>
      <c r="L16" s="214">
        <f>IF(ISNUMBER(K16),(ROUNDDOWN(PRODUCT(E16,G16,I16,K16)/1000,0)),"")</f>
        <v>2499</v>
      </c>
      <c r="M16" s="215"/>
      <c r="N16" s="216" t="s">
        <v>393</v>
      </c>
    </row>
    <row r="17" spans="1:23" ht="18.75" customHeight="1">
      <c r="A17" s="575"/>
      <c r="B17" s="576"/>
      <c r="C17" s="576"/>
      <c r="D17" s="217"/>
      <c r="E17" s="218"/>
      <c r="F17" s="219"/>
      <c r="G17" s="220"/>
      <c r="H17" s="221"/>
      <c r="I17" s="220"/>
      <c r="J17" s="221"/>
      <c r="K17" s="222"/>
      <c r="L17" s="223" t="str">
        <f>IF(ISNUMBER(K17),(ROUNDDOWN(PRODUCT(E17,G17,I17,K17)/1000,0)),"")</f>
        <v/>
      </c>
      <c r="M17" s="224"/>
      <c r="N17" s="225"/>
    </row>
    <row r="18" spans="1:23" ht="18.75" customHeight="1">
      <c r="A18" s="575"/>
      <c r="B18" s="576"/>
      <c r="C18" s="576"/>
      <c r="D18" s="577" t="s">
        <v>396</v>
      </c>
      <c r="E18" s="577"/>
      <c r="F18" s="577"/>
      <c r="G18" s="577"/>
      <c r="H18" s="577"/>
      <c r="I18" s="577"/>
      <c r="J18" s="577"/>
      <c r="K18" s="577"/>
      <c r="L18" s="226">
        <f>SUM(L14:L17)</f>
        <v>12999</v>
      </c>
      <c r="M18" s="578"/>
      <c r="N18" s="578"/>
      <c r="P18" s="192" t="s">
        <v>397</v>
      </c>
      <c r="Q18" s="227">
        <f>SUMIF(N14:N17,"○",L14:L17)</f>
        <v>12999</v>
      </c>
      <c r="R18" s="228"/>
      <c r="S18" s="192" t="s">
        <v>398</v>
      </c>
      <c r="T18" s="227">
        <f>SUMIF(M14:M17,"○",L14:L17)</f>
        <v>0</v>
      </c>
      <c r="U18" s="228"/>
      <c r="V18" s="192" t="s">
        <v>399</v>
      </c>
      <c r="W18" s="227">
        <f>$L$18-$Q$18-$T$18</f>
        <v>0</v>
      </c>
    </row>
    <row r="19" spans="1:23" ht="18.75" customHeight="1">
      <c r="A19" s="572" t="s">
        <v>351</v>
      </c>
      <c r="B19" s="576" t="s">
        <v>352</v>
      </c>
      <c r="C19" s="576"/>
      <c r="D19" s="197" t="s">
        <v>400</v>
      </c>
      <c r="E19" s="198">
        <v>5</v>
      </c>
      <c r="F19" s="199" t="s">
        <v>401</v>
      </c>
      <c r="G19" s="202">
        <v>1</v>
      </c>
      <c r="H19" s="201" t="s">
        <v>390</v>
      </c>
      <c r="I19" s="202">
        <v>1</v>
      </c>
      <c r="J19" s="201" t="s">
        <v>402</v>
      </c>
      <c r="K19" s="203">
        <v>100000</v>
      </c>
      <c r="L19" s="204">
        <f t="shared" ref="L19:L25" si="0">IF(ISNUMBER(K19),(ROUNDDOWN(PRODUCT(E19,G19,I19,K19)/1000,0)),"")</f>
        <v>500</v>
      </c>
      <c r="M19" s="205"/>
      <c r="N19" s="206" t="s">
        <v>393</v>
      </c>
    </row>
    <row r="20" spans="1:23" ht="18.75" customHeight="1">
      <c r="A20" s="572"/>
      <c r="B20" s="576"/>
      <c r="C20" s="576"/>
      <c r="D20" s="207" t="s">
        <v>403</v>
      </c>
      <c r="E20" s="208">
        <v>2</v>
      </c>
      <c r="F20" s="209" t="s">
        <v>390</v>
      </c>
      <c r="G20" s="212">
        <v>1</v>
      </c>
      <c r="H20" s="211" t="s">
        <v>401</v>
      </c>
      <c r="I20" s="212">
        <v>1</v>
      </c>
      <c r="J20" s="211" t="s">
        <v>402</v>
      </c>
      <c r="K20" s="213">
        <v>300000</v>
      </c>
      <c r="L20" s="214">
        <f t="shared" si="0"/>
        <v>600</v>
      </c>
      <c r="M20" s="215"/>
      <c r="N20" s="216" t="s">
        <v>393</v>
      </c>
    </row>
    <row r="21" spans="1:23" ht="18.75" customHeight="1">
      <c r="A21" s="572"/>
      <c r="B21" s="576"/>
      <c r="C21" s="576"/>
      <c r="D21" s="207" t="s">
        <v>404</v>
      </c>
      <c r="E21" s="208">
        <v>6</v>
      </c>
      <c r="F21" s="209" t="s">
        <v>401</v>
      </c>
      <c r="G21" s="212">
        <v>1</v>
      </c>
      <c r="H21" s="211" t="s">
        <v>390</v>
      </c>
      <c r="I21" s="212">
        <v>1</v>
      </c>
      <c r="J21" s="211" t="s">
        <v>402</v>
      </c>
      <c r="K21" s="213">
        <v>95000</v>
      </c>
      <c r="L21" s="214">
        <f t="shared" si="0"/>
        <v>570</v>
      </c>
      <c r="M21" s="215"/>
      <c r="N21" s="216" t="s">
        <v>393</v>
      </c>
    </row>
    <row r="22" spans="1:23" ht="18.75" customHeight="1">
      <c r="A22" s="572"/>
      <c r="B22" s="576"/>
      <c r="C22" s="576"/>
      <c r="D22" s="229" t="s">
        <v>405</v>
      </c>
      <c r="E22" s="230">
        <v>20</v>
      </c>
      <c r="F22" s="231" t="s">
        <v>401</v>
      </c>
      <c r="G22" s="232">
        <v>1</v>
      </c>
      <c r="H22" s="233" t="s">
        <v>390</v>
      </c>
      <c r="I22" s="232">
        <v>1</v>
      </c>
      <c r="J22" s="233" t="s">
        <v>392</v>
      </c>
      <c r="K22" s="234">
        <v>25000</v>
      </c>
      <c r="L22" s="235">
        <f t="shared" si="0"/>
        <v>500</v>
      </c>
      <c r="M22" s="236"/>
      <c r="N22" s="237"/>
    </row>
    <row r="23" spans="1:23" ht="18.75" customHeight="1">
      <c r="A23" s="572"/>
      <c r="B23" s="576"/>
      <c r="C23" s="576"/>
      <c r="D23" s="229" t="s">
        <v>406</v>
      </c>
      <c r="E23" s="230">
        <v>20</v>
      </c>
      <c r="F23" s="231" t="s">
        <v>401</v>
      </c>
      <c r="G23" s="232">
        <v>1</v>
      </c>
      <c r="H23" s="233" t="s">
        <v>390</v>
      </c>
      <c r="I23" s="232">
        <v>1</v>
      </c>
      <c r="J23" s="233" t="s">
        <v>392</v>
      </c>
      <c r="K23" s="234">
        <v>25000</v>
      </c>
      <c r="L23" s="235">
        <f t="shared" si="0"/>
        <v>500</v>
      </c>
      <c r="M23" s="236"/>
      <c r="N23" s="237"/>
    </row>
    <row r="24" spans="1:23" ht="18.75" customHeight="1">
      <c r="A24" s="572"/>
      <c r="B24" s="576"/>
      <c r="C24" s="576"/>
      <c r="D24" s="229" t="s">
        <v>407</v>
      </c>
      <c r="E24" s="230">
        <v>20</v>
      </c>
      <c r="F24" s="231" t="s">
        <v>401</v>
      </c>
      <c r="G24" s="232">
        <v>1</v>
      </c>
      <c r="H24" s="233" t="s">
        <v>390</v>
      </c>
      <c r="I24" s="232">
        <v>1</v>
      </c>
      <c r="J24" s="233" t="s">
        <v>392</v>
      </c>
      <c r="K24" s="234">
        <v>25000</v>
      </c>
      <c r="L24" s="235">
        <f t="shared" si="0"/>
        <v>500</v>
      </c>
      <c r="M24" s="236"/>
      <c r="N24" s="237"/>
    </row>
    <row r="25" spans="1:23" ht="18.75" customHeight="1">
      <c r="A25" s="572"/>
      <c r="B25" s="576"/>
      <c r="C25" s="576"/>
      <c r="D25" s="229" t="s">
        <v>408</v>
      </c>
      <c r="E25" s="230">
        <v>5</v>
      </c>
      <c r="F25" s="231" t="s">
        <v>401</v>
      </c>
      <c r="G25" s="232">
        <v>1</v>
      </c>
      <c r="H25" s="233" t="s">
        <v>390</v>
      </c>
      <c r="I25" s="232">
        <v>1</v>
      </c>
      <c r="J25" s="233" t="s">
        <v>392</v>
      </c>
      <c r="K25" s="234">
        <v>50000</v>
      </c>
      <c r="L25" s="223">
        <f t="shared" si="0"/>
        <v>250</v>
      </c>
      <c r="M25" s="238"/>
      <c r="N25" s="239"/>
    </row>
    <row r="26" spans="1:23" ht="18.75" customHeight="1">
      <c r="A26" s="572"/>
      <c r="B26" s="576"/>
      <c r="C26" s="576"/>
      <c r="D26" s="577" t="s">
        <v>396</v>
      </c>
      <c r="E26" s="577"/>
      <c r="F26" s="577"/>
      <c r="G26" s="577"/>
      <c r="H26" s="577"/>
      <c r="I26" s="577"/>
      <c r="J26" s="577"/>
      <c r="K26" s="577"/>
      <c r="L26" s="172">
        <f>SUM(L19:L25)</f>
        <v>3420</v>
      </c>
      <c r="M26" s="578"/>
      <c r="N26" s="578"/>
      <c r="P26" s="192" t="s">
        <v>397</v>
      </c>
      <c r="Q26" s="227">
        <f>SUMIF(N19:N25,"○",L19:L25)</f>
        <v>1670</v>
      </c>
      <c r="R26" s="228"/>
      <c r="S26" s="192" t="s">
        <v>398</v>
      </c>
      <c r="T26" s="227">
        <f>SUMIF(M19:M25,"○",L19:L25)</f>
        <v>0</v>
      </c>
      <c r="U26" s="228"/>
      <c r="V26" s="192" t="s">
        <v>399</v>
      </c>
      <c r="W26" s="227">
        <f>$L$26-$Q$26-$T$26</f>
        <v>1750</v>
      </c>
    </row>
    <row r="27" spans="1:23" ht="18.75" customHeight="1">
      <c r="A27" s="572"/>
      <c r="B27" s="576" t="s">
        <v>353</v>
      </c>
      <c r="C27" s="576"/>
      <c r="D27" s="197" t="s">
        <v>409</v>
      </c>
      <c r="E27" s="198">
        <v>4</v>
      </c>
      <c r="F27" s="199" t="s">
        <v>401</v>
      </c>
      <c r="G27" s="202">
        <v>1</v>
      </c>
      <c r="H27" s="201" t="s">
        <v>390</v>
      </c>
      <c r="I27" s="202">
        <v>1</v>
      </c>
      <c r="J27" s="201" t="s">
        <v>410</v>
      </c>
      <c r="K27" s="203">
        <v>200000</v>
      </c>
      <c r="L27" s="204">
        <f>IF(ISNUMBER(K27),(ROUNDDOWN(PRODUCT(E27,G27,I27,K27)/1000,0)),"")</f>
        <v>800</v>
      </c>
      <c r="M27" s="205"/>
      <c r="N27" s="206"/>
    </row>
    <row r="28" spans="1:23" ht="18.75" customHeight="1">
      <c r="A28" s="572"/>
      <c r="B28" s="576"/>
      <c r="C28" s="576"/>
      <c r="D28" s="240"/>
      <c r="E28" s="208"/>
      <c r="F28" s="209"/>
      <c r="G28" s="212"/>
      <c r="H28" s="211"/>
      <c r="I28" s="212"/>
      <c r="J28" s="211"/>
      <c r="K28" s="213"/>
      <c r="L28" s="214" t="str">
        <f>IF(ISNUMBER(K28),(ROUNDDOWN(PRODUCT(E28,G28,I28,K28)/1000,0)),"")</f>
        <v/>
      </c>
      <c r="M28" s="215"/>
      <c r="N28" s="216"/>
    </row>
    <row r="29" spans="1:23" ht="18.75" customHeight="1">
      <c r="A29" s="572"/>
      <c r="B29" s="576"/>
      <c r="C29" s="576"/>
      <c r="D29" s="207" t="s">
        <v>411</v>
      </c>
      <c r="E29" s="208">
        <v>1</v>
      </c>
      <c r="F29" s="209" t="s">
        <v>390</v>
      </c>
      <c r="G29" s="212">
        <v>1</v>
      </c>
      <c r="H29" s="211" t="s">
        <v>410</v>
      </c>
      <c r="I29" s="212">
        <v>1</v>
      </c>
      <c r="J29" s="211" t="s">
        <v>410</v>
      </c>
      <c r="K29" s="213">
        <v>600000</v>
      </c>
      <c r="L29" s="214">
        <f>IF(ISNUMBER(K29),(ROUNDDOWN(PRODUCT(E29,G29,I29,K29)/1000,0)),"")</f>
        <v>600</v>
      </c>
      <c r="M29" s="215"/>
      <c r="N29" s="216"/>
    </row>
    <row r="30" spans="1:23" ht="18.75" customHeight="1">
      <c r="A30" s="572"/>
      <c r="B30" s="576"/>
      <c r="C30" s="576"/>
      <c r="D30" s="207" t="s">
        <v>412</v>
      </c>
      <c r="E30" s="208">
        <v>1</v>
      </c>
      <c r="F30" s="209" t="s">
        <v>390</v>
      </c>
      <c r="G30" s="212">
        <v>1</v>
      </c>
      <c r="H30" s="211" t="s">
        <v>410</v>
      </c>
      <c r="I30" s="212">
        <v>1</v>
      </c>
      <c r="J30" s="211" t="s">
        <v>410</v>
      </c>
      <c r="K30" s="213">
        <v>600000</v>
      </c>
      <c r="L30" s="223">
        <f>IF(ISNUMBER(K30),(ROUNDDOWN(PRODUCT(E30,G30,I30,K30)/1000,0)),"")</f>
        <v>600</v>
      </c>
      <c r="M30" s="215"/>
      <c r="N30" s="216"/>
    </row>
    <row r="31" spans="1:23" ht="18.75" customHeight="1">
      <c r="A31" s="572"/>
      <c r="B31" s="576"/>
      <c r="C31" s="576"/>
      <c r="D31" s="577" t="s">
        <v>396</v>
      </c>
      <c r="E31" s="577"/>
      <c r="F31" s="577"/>
      <c r="G31" s="577"/>
      <c r="H31" s="577"/>
      <c r="I31" s="577"/>
      <c r="J31" s="577"/>
      <c r="K31" s="577"/>
      <c r="L31" s="241">
        <f>SUM(L27:L30)</f>
        <v>2000</v>
      </c>
      <c r="M31" s="578"/>
      <c r="N31" s="578"/>
      <c r="P31" s="192" t="s">
        <v>397</v>
      </c>
      <c r="Q31" s="227">
        <f>SUMIF(N27:N30,"○",L27:L30)</f>
        <v>0</v>
      </c>
      <c r="R31" s="228"/>
      <c r="S31" s="192" t="s">
        <v>398</v>
      </c>
      <c r="T31" s="227">
        <f>SUMIF(M27:M30,"○",L27:L30)</f>
        <v>0</v>
      </c>
      <c r="U31" s="228"/>
      <c r="V31" s="192" t="s">
        <v>399</v>
      </c>
      <c r="W31" s="227">
        <f>$L$31-$Q$31-$T$31</f>
        <v>2000</v>
      </c>
    </row>
    <row r="32" spans="1:23" ht="18.75" customHeight="1">
      <c r="A32" s="572"/>
      <c r="B32" s="576" t="s">
        <v>354</v>
      </c>
      <c r="C32" s="576"/>
      <c r="D32" s="242" t="s">
        <v>413</v>
      </c>
      <c r="E32" s="198">
        <v>200</v>
      </c>
      <c r="F32" s="199" t="s">
        <v>390</v>
      </c>
      <c r="G32" s="202">
        <v>6</v>
      </c>
      <c r="H32" s="201" t="s">
        <v>391</v>
      </c>
      <c r="I32" s="202">
        <v>1</v>
      </c>
      <c r="J32" s="201" t="s">
        <v>392</v>
      </c>
      <c r="K32" s="243">
        <v>17000</v>
      </c>
      <c r="L32" s="204">
        <f>IF(ISNUMBER(K32),(ROUNDDOWN(PRODUCT(E32,G32,I32,K32)/1000,0)),"")</f>
        <v>20400</v>
      </c>
      <c r="M32" s="205"/>
      <c r="N32" s="206"/>
    </row>
    <row r="33" spans="1:23" ht="18.75" customHeight="1">
      <c r="A33" s="572"/>
      <c r="B33" s="576"/>
      <c r="C33" s="576"/>
      <c r="D33" s="244" t="s">
        <v>414</v>
      </c>
      <c r="E33" s="208">
        <v>120</v>
      </c>
      <c r="F33" s="209" t="s">
        <v>390</v>
      </c>
      <c r="G33" s="212">
        <v>6</v>
      </c>
      <c r="H33" s="211" t="s">
        <v>391</v>
      </c>
      <c r="I33" s="212">
        <v>1</v>
      </c>
      <c r="J33" s="211" t="s">
        <v>392</v>
      </c>
      <c r="K33" s="245">
        <v>17000</v>
      </c>
      <c r="L33" s="214">
        <f>IF(ISNUMBER(K33),(ROUNDDOWN(PRODUCT(E33,G33,I33,K33)/1000,0)),"")</f>
        <v>12240</v>
      </c>
      <c r="M33" s="215"/>
      <c r="N33" s="216"/>
    </row>
    <row r="34" spans="1:23" ht="18.75" customHeight="1">
      <c r="A34" s="572"/>
      <c r="B34" s="576"/>
      <c r="C34" s="576"/>
      <c r="D34" s="244" t="s">
        <v>415</v>
      </c>
      <c r="E34" s="208">
        <v>20</v>
      </c>
      <c r="F34" s="209" t="s">
        <v>390</v>
      </c>
      <c r="G34" s="212">
        <v>6</v>
      </c>
      <c r="H34" s="211" t="s">
        <v>391</v>
      </c>
      <c r="I34" s="212">
        <v>1</v>
      </c>
      <c r="J34" s="211" t="s">
        <v>392</v>
      </c>
      <c r="K34" s="245">
        <v>17000</v>
      </c>
      <c r="L34" s="214">
        <f>IF(ISNUMBER(K34),(ROUNDDOWN(PRODUCT(E34,G34,I34,K34)/1000,0)),"")</f>
        <v>2040</v>
      </c>
      <c r="M34" s="215"/>
      <c r="N34" s="216"/>
    </row>
    <row r="35" spans="1:23" ht="18.75" customHeight="1">
      <c r="A35" s="572"/>
      <c r="B35" s="576"/>
      <c r="C35" s="576"/>
      <c r="D35" s="229"/>
      <c r="E35" s="230"/>
      <c r="F35" s="231"/>
      <c r="G35" s="232"/>
      <c r="H35" s="233"/>
      <c r="I35" s="232"/>
      <c r="J35" s="233"/>
      <c r="K35" s="234"/>
      <c r="L35" s="223" t="str">
        <f>IF(ISNUMBER(K35),(ROUNDDOWN(PRODUCT(E35,G35,I35,K35)/1000,0)),"")</f>
        <v/>
      </c>
      <c r="M35" s="236"/>
      <c r="N35" s="237"/>
    </row>
    <row r="36" spans="1:23" ht="18.75" customHeight="1">
      <c r="A36" s="572"/>
      <c r="B36" s="576"/>
      <c r="C36" s="576"/>
      <c r="D36" s="577" t="s">
        <v>396</v>
      </c>
      <c r="E36" s="577"/>
      <c r="F36" s="577"/>
      <c r="G36" s="577"/>
      <c r="H36" s="577"/>
      <c r="I36" s="577"/>
      <c r="J36" s="577"/>
      <c r="K36" s="577"/>
      <c r="L36" s="241">
        <f>SUM(L32:L35)</f>
        <v>34680</v>
      </c>
      <c r="M36" s="578"/>
      <c r="N36" s="578"/>
      <c r="P36" s="192" t="s">
        <v>397</v>
      </c>
      <c r="Q36" s="227">
        <f>SUMIF(N32:N35,"○",L32:L35)</f>
        <v>0</v>
      </c>
      <c r="R36" s="228"/>
      <c r="S36" s="192" t="s">
        <v>398</v>
      </c>
      <c r="T36" s="227">
        <f>SUMIF(M32:M35,"○",L32:L35)</f>
        <v>0</v>
      </c>
      <c r="U36" s="228"/>
      <c r="V36" s="192" t="s">
        <v>399</v>
      </c>
      <c r="W36" s="227">
        <f>$L$36-$Q$36-$T$36</f>
        <v>34680</v>
      </c>
    </row>
    <row r="37" spans="1:23" ht="18.75" customHeight="1">
      <c r="A37" s="572"/>
      <c r="B37" s="576" t="s">
        <v>355</v>
      </c>
      <c r="C37" s="576"/>
      <c r="D37" s="242" t="s">
        <v>416</v>
      </c>
      <c r="E37" s="198">
        <v>30</v>
      </c>
      <c r="F37" s="201" t="s">
        <v>417</v>
      </c>
      <c r="G37" s="202">
        <v>1</v>
      </c>
      <c r="H37" s="201" t="s">
        <v>410</v>
      </c>
      <c r="I37" s="202">
        <v>1</v>
      </c>
      <c r="J37" s="201" t="s">
        <v>392</v>
      </c>
      <c r="K37" s="203">
        <v>10000</v>
      </c>
      <c r="L37" s="204">
        <f>IF(ISNUMBER(K37),(ROUNDDOWN(PRODUCT(E37,G37,I37,K37)/1000,0)),"")</f>
        <v>300</v>
      </c>
      <c r="M37" s="205"/>
      <c r="N37" s="206"/>
    </row>
    <row r="38" spans="1:23" ht="18.75" customHeight="1">
      <c r="A38" s="572"/>
      <c r="B38" s="576"/>
      <c r="C38" s="576"/>
      <c r="D38" s="207" t="s">
        <v>418</v>
      </c>
      <c r="E38" s="208">
        <v>1</v>
      </c>
      <c r="F38" s="209" t="s">
        <v>410</v>
      </c>
      <c r="G38" s="212">
        <v>1</v>
      </c>
      <c r="H38" s="211" t="s">
        <v>410</v>
      </c>
      <c r="I38" s="212">
        <v>1</v>
      </c>
      <c r="J38" s="211" t="s">
        <v>392</v>
      </c>
      <c r="K38" s="213">
        <v>150000</v>
      </c>
      <c r="L38" s="214">
        <f>IF(ISNUMBER(K38),(ROUNDDOWN(PRODUCT(E38,G38,I38,K38)/1000,0)),"")</f>
        <v>150</v>
      </c>
      <c r="M38" s="215"/>
      <c r="N38" s="216"/>
    </row>
    <row r="39" spans="1:23" ht="18.75" customHeight="1">
      <c r="A39" s="572"/>
      <c r="B39" s="576"/>
      <c r="C39" s="576"/>
      <c r="D39" s="244"/>
      <c r="E39" s="208"/>
      <c r="F39" s="209"/>
      <c r="G39" s="212"/>
      <c r="H39" s="211"/>
      <c r="I39" s="212"/>
      <c r="J39" s="211"/>
      <c r="K39" s="213"/>
      <c r="L39" s="214" t="str">
        <f>IF(ISNUMBER(K39),(ROUNDDOWN(PRODUCT(E39,G39,I39,K39)/1000,0)),"")</f>
        <v/>
      </c>
      <c r="M39" s="215"/>
      <c r="N39" s="216"/>
    </row>
    <row r="40" spans="1:23" ht="18.75" customHeight="1">
      <c r="A40" s="572"/>
      <c r="B40" s="576"/>
      <c r="C40" s="576"/>
      <c r="D40" s="244"/>
      <c r="E40" s="208"/>
      <c r="F40" s="209"/>
      <c r="G40" s="212"/>
      <c r="H40" s="211"/>
      <c r="I40" s="212"/>
      <c r="J40" s="211"/>
      <c r="K40" s="213"/>
      <c r="L40" s="223" t="str">
        <f>IF(ISNUMBER(K40),(ROUNDDOWN(PRODUCT(E40,G40,I40,K40)/1000,0)),"")</f>
        <v/>
      </c>
      <c r="M40" s="215"/>
      <c r="N40" s="216"/>
    </row>
    <row r="41" spans="1:23" ht="18.75" customHeight="1">
      <c r="A41" s="572"/>
      <c r="B41" s="576"/>
      <c r="C41" s="576"/>
      <c r="D41" s="577" t="s">
        <v>396</v>
      </c>
      <c r="E41" s="577"/>
      <c r="F41" s="577"/>
      <c r="G41" s="577"/>
      <c r="H41" s="577"/>
      <c r="I41" s="577"/>
      <c r="J41" s="577"/>
      <c r="K41" s="577"/>
      <c r="L41" s="172">
        <f>SUM(L37:L40)</f>
        <v>450</v>
      </c>
      <c r="M41" s="578"/>
      <c r="N41" s="578"/>
      <c r="P41" s="192" t="s">
        <v>397</v>
      </c>
      <c r="Q41" s="227">
        <f>SUMIF(N37:N40,"○",L37:L40)</f>
        <v>0</v>
      </c>
      <c r="R41" s="228"/>
      <c r="S41" s="192" t="s">
        <v>398</v>
      </c>
      <c r="T41" s="227">
        <f>SUMIF(M37:M40,"○",L37:L40)</f>
        <v>0</v>
      </c>
      <c r="U41" s="228"/>
      <c r="V41" s="192" t="s">
        <v>399</v>
      </c>
      <c r="W41" s="227">
        <f>$L$41-$Q$41-$T$41</f>
        <v>450</v>
      </c>
    </row>
    <row r="42" spans="1:23" ht="18.75" customHeight="1">
      <c r="A42" s="572"/>
      <c r="B42" s="576" t="s">
        <v>356</v>
      </c>
      <c r="C42" s="576"/>
      <c r="D42" s="197" t="s">
        <v>419</v>
      </c>
      <c r="E42" s="185">
        <v>4</v>
      </c>
      <c r="F42" s="199" t="s">
        <v>401</v>
      </c>
      <c r="G42" s="202">
        <v>1</v>
      </c>
      <c r="H42" s="201" t="s">
        <v>402</v>
      </c>
      <c r="I42" s="202">
        <v>1</v>
      </c>
      <c r="J42" s="201" t="s">
        <v>410</v>
      </c>
      <c r="K42" s="203">
        <v>120000</v>
      </c>
      <c r="L42" s="204">
        <f>IF(ISNUMBER(K42),(ROUNDDOWN(PRODUCT(E42,G42,I42,K42)/1000,0)),"")</f>
        <v>480</v>
      </c>
      <c r="M42" s="205"/>
      <c r="N42" s="206"/>
    </row>
    <row r="43" spans="1:23" ht="18.75" customHeight="1">
      <c r="A43" s="572"/>
      <c r="B43" s="576"/>
      <c r="C43" s="576"/>
      <c r="D43" s="207" t="s">
        <v>420</v>
      </c>
      <c r="E43" s="208">
        <v>1</v>
      </c>
      <c r="F43" s="209" t="s">
        <v>410</v>
      </c>
      <c r="G43" s="212">
        <v>1</v>
      </c>
      <c r="H43" s="211" t="s">
        <v>401</v>
      </c>
      <c r="I43" s="212">
        <v>1</v>
      </c>
      <c r="J43" s="211" t="s">
        <v>410</v>
      </c>
      <c r="K43" s="213">
        <v>350000</v>
      </c>
      <c r="L43" s="214">
        <f>IF(ISNUMBER(K43),(ROUNDDOWN(PRODUCT(E43,G43,I43,K43)/1000,0)),"")</f>
        <v>350</v>
      </c>
      <c r="M43" s="215"/>
      <c r="N43" s="216"/>
    </row>
    <row r="44" spans="1:23" ht="18.75" customHeight="1">
      <c r="A44" s="572"/>
      <c r="B44" s="576"/>
      <c r="C44" s="576"/>
      <c r="D44" s="207" t="s">
        <v>421</v>
      </c>
      <c r="E44" s="208">
        <v>1</v>
      </c>
      <c r="F44" s="209" t="s">
        <v>401</v>
      </c>
      <c r="G44" s="212">
        <v>1</v>
      </c>
      <c r="H44" s="211" t="s">
        <v>410</v>
      </c>
      <c r="I44" s="212">
        <v>1</v>
      </c>
      <c r="J44" s="211" t="s">
        <v>410</v>
      </c>
      <c r="K44" s="213">
        <v>300000</v>
      </c>
      <c r="L44" s="214">
        <f>IF(ISNUMBER(K44),(ROUNDDOWN(PRODUCT(E44,G44,I44,K44)/1000,0)),"")</f>
        <v>300</v>
      </c>
      <c r="M44" s="215"/>
      <c r="N44" s="216"/>
    </row>
    <row r="45" spans="1:23" ht="18.75" customHeight="1">
      <c r="A45" s="572"/>
      <c r="B45" s="576"/>
      <c r="C45" s="576"/>
      <c r="D45" s="244"/>
      <c r="E45" s="208"/>
      <c r="F45" s="209"/>
      <c r="G45" s="212"/>
      <c r="H45" s="211"/>
      <c r="I45" s="212"/>
      <c r="J45" s="211"/>
      <c r="K45" s="213"/>
      <c r="L45" s="223" t="str">
        <f>IF(ISNUMBER(K45),(ROUNDDOWN(PRODUCT(E45,G45,I45,K45)/1000,0)),"")</f>
        <v/>
      </c>
      <c r="M45" s="215"/>
      <c r="N45" s="216"/>
    </row>
    <row r="46" spans="1:23" ht="18.75" customHeight="1">
      <c r="A46" s="572"/>
      <c r="B46" s="576"/>
      <c r="C46" s="576"/>
      <c r="D46" s="577" t="s">
        <v>396</v>
      </c>
      <c r="E46" s="577"/>
      <c r="F46" s="577"/>
      <c r="G46" s="577"/>
      <c r="H46" s="577"/>
      <c r="I46" s="577"/>
      <c r="J46" s="577"/>
      <c r="K46" s="577"/>
      <c r="L46" s="241">
        <f>SUM(L42:L45)</f>
        <v>1130</v>
      </c>
      <c r="M46" s="578"/>
      <c r="N46" s="578"/>
      <c r="P46" s="192" t="s">
        <v>397</v>
      </c>
      <c r="Q46" s="227">
        <f>SUMIF(N42:N45,"○",L42:L45)</f>
        <v>0</v>
      </c>
      <c r="R46" s="228"/>
      <c r="S46" s="192" t="s">
        <v>398</v>
      </c>
      <c r="T46" s="227">
        <f>SUMIF(M42:M45,"○",L42:L45)</f>
        <v>0</v>
      </c>
      <c r="U46" s="228"/>
      <c r="V46" s="192" t="s">
        <v>399</v>
      </c>
      <c r="W46" s="227">
        <f>$L$46-$Q$46-$T$46</f>
        <v>1130</v>
      </c>
    </row>
    <row r="47" spans="1:23" ht="18.75" customHeight="1">
      <c r="A47" s="572"/>
      <c r="B47" s="579" t="s">
        <v>357</v>
      </c>
      <c r="C47" s="579"/>
      <c r="D47" s="207" t="s">
        <v>422</v>
      </c>
      <c r="E47" s="208">
        <v>1</v>
      </c>
      <c r="F47" s="209" t="s">
        <v>410</v>
      </c>
      <c r="G47" s="212">
        <v>12</v>
      </c>
      <c r="H47" s="211" t="s">
        <v>391</v>
      </c>
      <c r="I47" s="212">
        <v>1</v>
      </c>
      <c r="J47" s="211" t="s">
        <v>392</v>
      </c>
      <c r="K47" s="213">
        <v>40000</v>
      </c>
      <c r="L47" s="204">
        <f>IF(ISNUMBER(K47),(ROUNDDOWN(PRODUCT(E47,G47,I47,K47)/1000,0)),"")</f>
        <v>480</v>
      </c>
      <c r="M47" s="205"/>
      <c r="N47" s="206"/>
    </row>
    <row r="48" spans="1:23" ht="18.75" customHeight="1">
      <c r="A48" s="572"/>
      <c r="B48" s="579"/>
      <c r="C48" s="579"/>
      <c r="D48" s="229" t="s">
        <v>423</v>
      </c>
      <c r="E48" s="230">
        <v>1</v>
      </c>
      <c r="F48" s="231" t="s">
        <v>410</v>
      </c>
      <c r="G48" s="232">
        <v>12</v>
      </c>
      <c r="H48" s="233" t="s">
        <v>391</v>
      </c>
      <c r="I48" s="232">
        <v>1</v>
      </c>
      <c r="J48" s="233" t="s">
        <v>392</v>
      </c>
      <c r="K48" s="234">
        <v>30000</v>
      </c>
      <c r="L48" s="214">
        <f>IF(ISNUMBER(K48),(ROUNDDOWN(PRODUCT(E48,G48,I48,K48)/1000,0)),"")</f>
        <v>360</v>
      </c>
      <c r="M48" s="246"/>
      <c r="N48" s="247"/>
    </row>
    <row r="49" spans="1:25" ht="18.75" customHeight="1">
      <c r="A49" s="572"/>
      <c r="B49" s="579"/>
      <c r="C49" s="579"/>
      <c r="D49" s="229"/>
      <c r="E49" s="230"/>
      <c r="F49" s="231"/>
      <c r="G49" s="232"/>
      <c r="H49" s="233"/>
      <c r="I49" s="232"/>
      <c r="J49" s="233"/>
      <c r="K49" s="234"/>
      <c r="L49" s="214" t="str">
        <f>IF(ISNUMBER(K49),(ROUNDDOWN(PRODUCT(E49,G49,I49,K49)/1000,0)),"")</f>
        <v/>
      </c>
      <c r="M49" s="246"/>
      <c r="N49" s="247"/>
    </row>
    <row r="50" spans="1:25" ht="18.75" customHeight="1">
      <c r="A50" s="572"/>
      <c r="B50" s="579"/>
      <c r="C50" s="579"/>
      <c r="D50" s="217"/>
      <c r="E50" s="218"/>
      <c r="F50" s="219"/>
      <c r="G50" s="220"/>
      <c r="H50" s="221"/>
      <c r="I50" s="220"/>
      <c r="J50" s="221"/>
      <c r="K50" s="222"/>
      <c r="L50" s="223" t="str">
        <f>IF(ISNUMBER(K50),(ROUNDDOWN(PRODUCT(E50,G50,I50,K50)/1000,0)),"")</f>
        <v/>
      </c>
      <c r="M50" s="224"/>
      <c r="N50" s="225"/>
    </row>
    <row r="51" spans="1:25" ht="18.75" customHeight="1">
      <c r="A51" s="572"/>
      <c r="B51" s="579"/>
      <c r="C51" s="579"/>
      <c r="D51" s="577" t="s">
        <v>396</v>
      </c>
      <c r="E51" s="577"/>
      <c r="F51" s="577"/>
      <c r="G51" s="577"/>
      <c r="H51" s="577"/>
      <c r="I51" s="577"/>
      <c r="J51" s="577"/>
      <c r="K51" s="577"/>
      <c r="L51" s="172">
        <f>SUM(L47:L50)</f>
        <v>840</v>
      </c>
      <c r="M51" s="578"/>
      <c r="N51" s="578"/>
      <c r="P51" s="192" t="s">
        <v>397</v>
      </c>
      <c r="Q51" s="227">
        <f>SUMIF(N47:N50,"○",L47:L50)</f>
        <v>0</v>
      </c>
      <c r="R51" s="228"/>
      <c r="S51" s="192" t="s">
        <v>398</v>
      </c>
      <c r="T51" s="227">
        <f>SUMIF(M47:M50,"○",L47:L50)</f>
        <v>0</v>
      </c>
      <c r="U51" s="228"/>
      <c r="V51" s="192" t="s">
        <v>399</v>
      </c>
      <c r="W51" s="227">
        <f>$L$51-$Q$51-$T$51</f>
        <v>840</v>
      </c>
    </row>
    <row r="52" spans="1:25" ht="18.75" customHeight="1">
      <c r="A52" s="572"/>
      <c r="B52" s="580" t="s">
        <v>358</v>
      </c>
      <c r="C52" s="580"/>
      <c r="D52" s="197" t="s">
        <v>424</v>
      </c>
      <c r="E52" s="198">
        <v>17</v>
      </c>
      <c r="F52" s="199" t="s">
        <v>417</v>
      </c>
      <c r="G52" s="202">
        <v>1</v>
      </c>
      <c r="H52" s="201" t="s">
        <v>410</v>
      </c>
      <c r="I52" s="202">
        <v>1</v>
      </c>
      <c r="J52" s="201" t="s">
        <v>392</v>
      </c>
      <c r="K52" s="203">
        <v>60000</v>
      </c>
      <c r="L52" s="248">
        <f>IF(ISNUMBER(K52),(ROUNDDOWN(PRODUCT(E52,G52,I52,K52)/1000,0)),"")</f>
        <v>1020</v>
      </c>
      <c r="M52" s="205"/>
      <c r="N52" s="206"/>
    </row>
    <row r="53" spans="1:25" ht="18.75" customHeight="1">
      <c r="A53" s="572"/>
      <c r="B53" s="580"/>
      <c r="C53" s="580"/>
      <c r="D53" s="207" t="s">
        <v>425</v>
      </c>
      <c r="E53" s="208">
        <v>1</v>
      </c>
      <c r="F53" s="209" t="s">
        <v>410</v>
      </c>
      <c r="G53" s="210">
        <v>1</v>
      </c>
      <c r="H53" s="211" t="s">
        <v>401</v>
      </c>
      <c r="I53" s="212">
        <v>1</v>
      </c>
      <c r="J53" s="211" t="s">
        <v>392</v>
      </c>
      <c r="K53" s="213">
        <v>500000</v>
      </c>
      <c r="L53" s="249">
        <f>IF(ISNUMBER(K53),(ROUNDDOWN(PRODUCT(E53,G53,I53,K53)/1000,0)),"")</f>
        <v>500</v>
      </c>
      <c r="M53" s="215"/>
      <c r="N53" s="216"/>
    </row>
    <row r="54" spans="1:25" ht="18.75" customHeight="1">
      <c r="A54" s="572"/>
      <c r="B54" s="580"/>
      <c r="C54" s="580"/>
      <c r="D54" s="207" t="s">
        <v>426</v>
      </c>
      <c r="E54" s="208">
        <v>1</v>
      </c>
      <c r="F54" s="209" t="s">
        <v>410</v>
      </c>
      <c r="G54" s="210">
        <v>1</v>
      </c>
      <c r="H54" s="211" t="s">
        <v>401</v>
      </c>
      <c r="I54" s="212">
        <v>1</v>
      </c>
      <c r="J54" s="211" t="s">
        <v>392</v>
      </c>
      <c r="K54" s="213">
        <v>150000</v>
      </c>
      <c r="L54" s="249">
        <f>IF(ISNUMBER(K54),(ROUNDDOWN(PRODUCT(E54,G54,I54,K54)/1000,0)),"")</f>
        <v>150</v>
      </c>
      <c r="M54" s="215"/>
      <c r="N54" s="216"/>
    </row>
    <row r="55" spans="1:25" ht="18.75" customHeight="1">
      <c r="A55" s="572"/>
      <c r="B55" s="580"/>
      <c r="C55" s="580"/>
      <c r="D55" s="207" t="s">
        <v>427</v>
      </c>
      <c r="E55" s="208">
        <v>12</v>
      </c>
      <c r="F55" s="209" t="s">
        <v>401</v>
      </c>
      <c r="G55" s="212">
        <v>1</v>
      </c>
      <c r="H55" s="211" t="s">
        <v>410</v>
      </c>
      <c r="I55" s="212">
        <v>1</v>
      </c>
      <c r="J55" s="211" t="s">
        <v>392</v>
      </c>
      <c r="K55" s="245">
        <v>50000</v>
      </c>
      <c r="L55" s="249">
        <f>IF(ISNUMBER(K55),(ROUNDDOWN(PRODUCT(E55,G55,I55,K55)/1000,0)),"")</f>
        <v>600</v>
      </c>
      <c r="M55" s="215"/>
      <c r="N55" s="216"/>
    </row>
    <row r="56" spans="1:25" ht="18.75" customHeight="1">
      <c r="A56" s="572"/>
      <c r="B56" s="580"/>
      <c r="C56" s="580"/>
      <c r="D56" s="250" t="s">
        <v>428</v>
      </c>
      <c r="E56" s="251">
        <v>1</v>
      </c>
      <c r="F56" s="252" t="s">
        <v>410</v>
      </c>
      <c r="G56" s="253">
        <v>1</v>
      </c>
      <c r="H56" s="254" t="s">
        <v>410</v>
      </c>
      <c r="I56" s="253">
        <v>1</v>
      </c>
      <c r="J56" s="254" t="s">
        <v>392</v>
      </c>
      <c r="K56" s="255">
        <v>200000</v>
      </c>
      <c r="L56" s="256">
        <f>IF(ISNUMBER(K56),(ROUNDDOWN(PRODUCT(E56,G56,I56,K56)/1000,0)),"")</f>
        <v>200</v>
      </c>
      <c r="M56" s="246"/>
      <c r="N56" s="257"/>
    </row>
    <row r="57" spans="1:25" ht="18.75" customHeight="1">
      <c r="A57" s="572"/>
      <c r="B57" s="580"/>
      <c r="C57" s="580"/>
      <c r="D57" s="581" t="s">
        <v>396</v>
      </c>
      <c r="E57" s="581"/>
      <c r="F57" s="581"/>
      <c r="G57" s="581"/>
      <c r="H57" s="581"/>
      <c r="I57" s="581"/>
      <c r="J57" s="581"/>
      <c r="K57" s="581"/>
      <c r="L57" s="258">
        <f>SUM(L52:L56)</f>
        <v>2470</v>
      </c>
      <c r="M57" s="582"/>
      <c r="N57" s="582"/>
      <c r="P57" s="192" t="s">
        <v>397</v>
      </c>
      <c r="Q57" s="227">
        <f>SUMIF(N52:N55,"○",L52:L55)</f>
        <v>0</v>
      </c>
      <c r="R57" s="228"/>
      <c r="S57" s="192" t="s">
        <v>398</v>
      </c>
      <c r="T57" s="227">
        <f>SUMIF(M52:M55,"○",L52:L55)</f>
        <v>0</v>
      </c>
      <c r="U57" s="228"/>
      <c r="V57" s="192" t="s">
        <v>399</v>
      </c>
      <c r="W57" s="227">
        <f>$L$57-$Q$57-$T$57</f>
        <v>2470</v>
      </c>
    </row>
    <row r="58" spans="1:25" ht="18.75" customHeight="1">
      <c r="A58" s="572"/>
      <c r="B58" s="580" t="s">
        <v>359</v>
      </c>
      <c r="C58" s="580"/>
      <c r="D58" s="197" t="s">
        <v>429</v>
      </c>
      <c r="E58" s="198">
        <v>40</v>
      </c>
      <c r="F58" s="199" t="s">
        <v>390</v>
      </c>
      <c r="G58" s="202">
        <v>1</v>
      </c>
      <c r="H58" s="201" t="s">
        <v>410</v>
      </c>
      <c r="I58" s="202">
        <v>1</v>
      </c>
      <c r="J58" s="201" t="s">
        <v>392</v>
      </c>
      <c r="K58" s="203">
        <v>1500</v>
      </c>
      <c r="L58" s="204">
        <f>IF(ISNUMBER(K58),(ROUNDDOWN(PRODUCT(E58,G58,I58,K58)/1000,0)),"")</f>
        <v>60</v>
      </c>
      <c r="M58" s="205"/>
      <c r="N58" s="206"/>
    </row>
    <row r="59" spans="1:25" ht="18.75" customHeight="1">
      <c r="A59" s="572"/>
      <c r="B59" s="580"/>
      <c r="C59" s="580"/>
      <c r="D59" s="244"/>
      <c r="E59" s="208"/>
      <c r="F59" s="209"/>
      <c r="G59" s="210"/>
      <c r="H59" s="211"/>
      <c r="I59" s="212"/>
      <c r="J59" s="211"/>
      <c r="K59" s="213"/>
      <c r="L59" s="214" t="str">
        <f>IF(ISNUMBER(K59),(ROUNDDOWN(PRODUCT(E59,G59,I59,K59)/1000,0)),"")</f>
        <v/>
      </c>
      <c r="M59" s="215"/>
      <c r="N59" s="216"/>
    </row>
    <row r="60" spans="1:25" ht="18.75" customHeight="1">
      <c r="A60" s="572"/>
      <c r="B60" s="580"/>
      <c r="C60" s="580"/>
      <c r="D60" s="244"/>
      <c r="E60" s="208"/>
      <c r="F60" s="209"/>
      <c r="G60" s="210"/>
      <c r="H60" s="211"/>
      <c r="I60" s="212"/>
      <c r="J60" s="211"/>
      <c r="K60" s="213"/>
      <c r="L60" s="214" t="str">
        <f>IF(ISNUMBER(K60),(ROUNDDOWN(PRODUCT(E60,G60,I60,K60)/1000,0)),"")</f>
        <v/>
      </c>
      <c r="M60" s="215"/>
      <c r="N60" s="216"/>
    </row>
    <row r="61" spans="1:25" ht="18.75" customHeight="1">
      <c r="A61" s="572"/>
      <c r="B61" s="580"/>
      <c r="C61" s="580"/>
      <c r="D61" s="244"/>
      <c r="E61" s="208"/>
      <c r="F61" s="209"/>
      <c r="G61" s="212"/>
      <c r="H61" s="211"/>
      <c r="I61" s="212"/>
      <c r="J61" s="211"/>
      <c r="K61" s="213"/>
      <c r="L61" s="223" t="str">
        <f>IF(ISNUMBER(K61),(ROUNDDOWN(PRODUCT(E61,G61,I61,K61)/1000,0)),"")</f>
        <v/>
      </c>
      <c r="M61" s="215"/>
      <c r="N61" s="216"/>
    </row>
    <row r="62" spans="1:25" ht="18.75" customHeight="1">
      <c r="A62" s="572"/>
      <c r="B62" s="580"/>
      <c r="C62" s="580"/>
      <c r="D62" s="581" t="s">
        <v>396</v>
      </c>
      <c r="E62" s="581"/>
      <c r="F62" s="581"/>
      <c r="G62" s="581"/>
      <c r="H62" s="581"/>
      <c r="I62" s="581"/>
      <c r="J62" s="581"/>
      <c r="K62" s="581"/>
      <c r="L62" s="259">
        <f>SUM(L58:L61)</f>
        <v>60</v>
      </c>
      <c r="M62" s="578"/>
      <c r="N62" s="578"/>
      <c r="P62" s="192" t="s">
        <v>397</v>
      </c>
      <c r="Q62" s="227">
        <f>SUMIF(N58:N61,"○",L58:L61)</f>
        <v>0</v>
      </c>
      <c r="R62" s="228"/>
      <c r="S62" s="192" t="s">
        <v>398</v>
      </c>
      <c r="T62" s="227">
        <f>SUMIF(M58:M61,"○",L58:L61)</f>
        <v>0</v>
      </c>
      <c r="U62" s="228"/>
      <c r="V62" s="192" t="s">
        <v>399</v>
      </c>
      <c r="W62" s="227">
        <f>$L$62-$Q$62-$T$62</f>
        <v>60</v>
      </c>
      <c r="X62" s="174" t="s">
        <v>360</v>
      </c>
      <c r="Y62" s="152">
        <f>SUM(L26,L31,L36,L41,L46,L51,L57,L62)</f>
        <v>45050</v>
      </c>
    </row>
    <row r="63" spans="1:25" ht="22.5" customHeight="1">
      <c r="A63" s="568" t="s">
        <v>361</v>
      </c>
      <c r="B63" s="568"/>
      <c r="C63" s="568"/>
      <c r="D63" s="583" t="s">
        <v>430</v>
      </c>
      <c r="E63" s="583"/>
      <c r="F63" s="583"/>
      <c r="G63" s="583"/>
      <c r="H63" s="583"/>
      <c r="I63" s="583"/>
      <c r="J63" s="583"/>
      <c r="K63" s="583"/>
      <c r="L63" s="260">
        <v>5000</v>
      </c>
      <c r="M63" s="584"/>
      <c r="N63" s="584"/>
    </row>
    <row r="64" spans="1:25" ht="22.5" customHeight="1">
      <c r="A64" s="585" t="s">
        <v>431</v>
      </c>
      <c r="B64" s="585"/>
      <c r="C64" s="585"/>
      <c r="D64" s="585"/>
      <c r="E64" s="585"/>
      <c r="F64" s="585"/>
      <c r="G64" s="585"/>
      <c r="H64" s="585"/>
      <c r="I64" s="585"/>
      <c r="J64" s="585"/>
      <c r="K64" s="585"/>
      <c r="L64" s="261">
        <f>SUM(L18,L26,L31,L36,L41,L46,L51,L57,L62,L63)</f>
        <v>63049</v>
      </c>
      <c r="M64" s="584"/>
      <c r="N64" s="584"/>
    </row>
    <row r="65" spans="1:23" ht="18" customHeight="1">
      <c r="A65" s="586"/>
      <c r="B65" s="586"/>
      <c r="C65" s="586"/>
      <c r="D65" s="586"/>
      <c r="E65" s="586"/>
      <c r="F65" s="586"/>
      <c r="G65" s="586"/>
      <c r="H65" s="587" t="s">
        <v>432</v>
      </c>
      <c r="I65" s="587"/>
      <c r="J65" s="587"/>
      <c r="K65" s="587"/>
      <c r="L65" s="262">
        <f>SUM(Q18,Q26,Q31,Q36,Q41,Q46,,Q51,Q57,Q62)</f>
        <v>14669</v>
      </c>
      <c r="M65" s="584"/>
      <c r="N65" s="584"/>
      <c r="P65" s="192"/>
      <c r="Q65" s="263"/>
      <c r="R65" s="228"/>
      <c r="S65" s="192"/>
      <c r="T65" s="263"/>
      <c r="U65" s="228"/>
      <c r="V65" s="192"/>
      <c r="W65" s="263"/>
    </row>
    <row r="66" spans="1:23" ht="18" customHeight="1">
      <c r="A66" s="586"/>
      <c r="B66" s="586"/>
      <c r="C66" s="586"/>
      <c r="D66" s="586"/>
      <c r="E66" s="586"/>
      <c r="F66" s="586"/>
      <c r="G66" s="586"/>
      <c r="H66" s="588" t="s">
        <v>433</v>
      </c>
      <c r="I66" s="588"/>
      <c r="J66" s="588"/>
      <c r="K66" s="588"/>
      <c r="L66" s="264">
        <f>SUM(T18,T26,T31,T36,T41,T46,,T51,T57,T62)</f>
        <v>0</v>
      </c>
      <c r="M66" s="584"/>
      <c r="N66" s="584"/>
      <c r="P66" s="160" t="s">
        <v>344</v>
      </c>
      <c r="Q66" s="263"/>
      <c r="R66" s="228"/>
      <c r="S66" s="192"/>
      <c r="T66" s="263"/>
      <c r="U66" s="228"/>
      <c r="V66" s="192"/>
      <c r="W66" s="263"/>
    </row>
    <row r="67" spans="1:23" ht="18" customHeight="1">
      <c r="A67" s="586"/>
      <c r="B67" s="586"/>
      <c r="C67" s="586"/>
      <c r="D67" s="586"/>
      <c r="E67" s="586"/>
      <c r="F67" s="586"/>
      <c r="G67" s="586"/>
      <c r="H67" s="589" t="s">
        <v>434</v>
      </c>
      <c r="I67" s="589"/>
      <c r="J67" s="589"/>
      <c r="K67" s="589"/>
      <c r="L67" s="265">
        <f>SUM(W18,W26,W31,W36,W41,W46,,W51,W57,W62)</f>
        <v>43380</v>
      </c>
      <c r="M67" s="584"/>
      <c r="N67" s="584"/>
      <c r="P67" s="163" t="str">
        <f>'１０．収支予算書'!$E$11</f>
        <v>【</v>
      </c>
      <c r="Q67" s="263"/>
      <c r="R67" s="228"/>
      <c r="S67" s="192"/>
      <c r="T67" s="263"/>
      <c r="U67" s="228"/>
      <c r="V67" s="192"/>
      <c r="W67" s="263"/>
    </row>
    <row r="68" spans="1:23" ht="22.5" customHeight="1">
      <c r="A68" s="590" t="s">
        <v>363</v>
      </c>
      <c r="B68" s="590"/>
      <c r="C68" s="590"/>
      <c r="D68" s="590"/>
      <c r="E68" s="590"/>
      <c r="F68" s="590"/>
      <c r="G68" s="590"/>
      <c r="H68" s="590"/>
      <c r="I68" s="590"/>
      <c r="J68" s="590"/>
      <c r="K68" s="590"/>
      <c r="L68" s="266">
        <f>SUM(ROUNDDOWN(L67*10/110,0),ROUNDDOWN(L66*8/108,0))</f>
        <v>3943</v>
      </c>
      <c r="M68" s="591"/>
      <c r="N68" s="591"/>
    </row>
    <row r="69" spans="1:23" ht="22.5" customHeight="1">
      <c r="A69" s="592" t="s">
        <v>364</v>
      </c>
      <c r="B69" s="592"/>
      <c r="C69" s="592"/>
      <c r="D69" s="592"/>
      <c r="E69" s="592"/>
      <c r="F69" s="592"/>
      <c r="G69" s="592"/>
      <c r="H69" s="592"/>
      <c r="I69" s="592"/>
      <c r="J69" s="592"/>
      <c r="K69" s="592"/>
      <c r="L69" s="267">
        <f>IF(OR($P$67="2",$P$67="3"),$L$64,$L$64-$L$68)</f>
        <v>59106</v>
      </c>
      <c r="M69" s="593"/>
      <c r="N69" s="593"/>
    </row>
    <row r="70" spans="1:23" ht="18.75" customHeight="1">
      <c r="A70" s="594" t="s">
        <v>365</v>
      </c>
      <c r="B70" s="594"/>
      <c r="C70" s="594"/>
      <c r="D70" s="242"/>
      <c r="E70" s="198"/>
      <c r="F70" s="199"/>
      <c r="G70" s="202"/>
      <c r="H70" s="201"/>
      <c r="I70" s="202"/>
      <c r="J70" s="201"/>
      <c r="K70" s="243"/>
      <c r="L70" s="268" t="str">
        <f>IF(ISNUMBER(K70),(ROUNDDOWN(PRODUCT(E70,G70,I70,K70)/1000,0)),"")</f>
        <v/>
      </c>
      <c r="M70" s="269"/>
      <c r="N70" s="270"/>
    </row>
    <row r="71" spans="1:23" ht="18.75" customHeight="1">
      <c r="A71" s="594"/>
      <c r="B71" s="594"/>
      <c r="C71" s="594"/>
      <c r="D71" s="244"/>
      <c r="E71" s="208"/>
      <c r="F71" s="209"/>
      <c r="G71" s="212"/>
      <c r="H71" s="211"/>
      <c r="I71" s="212"/>
      <c r="J71" s="211"/>
      <c r="K71" s="245"/>
      <c r="L71" s="214" t="str">
        <f>IF(ISNUMBER(K71),(ROUNDDOWN(PRODUCT(E71,G71,I71,K71)/1000,0)),"")</f>
        <v/>
      </c>
      <c r="M71" s="271"/>
      <c r="N71" s="272"/>
    </row>
    <row r="72" spans="1:23" ht="18.75" customHeight="1">
      <c r="A72" s="594"/>
      <c r="B72" s="594"/>
      <c r="C72" s="594"/>
      <c r="D72" s="244"/>
      <c r="E72" s="208"/>
      <c r="F72" s="209"/>
      <c r="G72" s="212"/>
      <c r="H72" s="211"/>
      <c r="I72" s="212"/>
      <c r="J72" s="211"/>
      <c r="K72" s="245"/>
      <c r="L72" s="214" t="str">
        <f>IF(ISNUMBER(K72),(ROUNDDOWN(PRODUCT(E72,G72,I72,K72)/1000,0)),"")</f>
        <v/>
      </c>
      <c r="M72" s="271"/>
      <c r="N72" s="272"/>
    </row>
    <row r="73" spans="1:23" ht="18.75" customHeight="1">
      <c r="A73" s="594"/>
      <c r="B73" s="594"/>
      <c r="C73" s="594"/>
      <c r="D73" s="244"/>
      <c r="E73" s="212"/>
      <c r="F73" s="209"/>
      <c r="G73" s="212"/>
      <c r="H73" s="211"/>
      <c r="I73" s="212"/>
      <c r="J73" s="211"/>
      <c r="K73" s="273"/>
      <c r="L73" s="214" t="str">
        <f>IF(ISNUMBER(K73),(ROUNDDOWN(PRODUCT(E73,G73,I73,K73)/1000,0)),"")</f>
        <v/>
      </c>
      <c r="M73" s="271"/>
      <c r="N73" s="272"/>
    </row>
    <row r="74" spans="1:23" ht="18.75" customHeight="1">
      <c r="A74" s="594"/>
      <c r="B74" s="594"/>
      <c r="C74" s="594"/>
      <c r="D74" s="274"/>
      <c r="E74" s="220"/>
      <c r="F74" s="219"/>
      <c r="G74" s="220"/>
      <c r="H74" s="221"/>
      <c r="I74" s="220"/>
      <c r="J74" s="221"/>
      <c r="K74" s="275"/>
      <c r="L74" s="223" t="str">
        <f>IF(ISNUMBER(K74),(PRODUCT(E74,G74,I74,K74)),"")</f>
        <v/>
      </c>
      <c r="M74" s="276"/>
      <c r="N74" s="277"/>
    </row>
    <row r="75" spans="1:23" ht="18.75" customHeight="1">
      <c r="A75" s="594"/>
      <c r="B75" s="594"/>
      <c r="C75" s="594"/>
      <c r="D75" s="595" t="s">
        <v>396</v>
      </c>
      <c r="E75" s="595"/>
      <c r="F75" s="595"/>
      <c r="G75" s="595"/>
      <c r="H75" s="595"/>
      <c r="I75" s="595"/>
      <c r="J75" s="595"/>
      <c r="K75" s="595"/>
      <c r="L75" s="278">
        <f>SUM(L70:L74)</f>
        <v>0</v>
      </c>
      <c r="M75" s="596"/>
      <c r="N75" s="596"/>
    </row>
    <row r="76" spans="1:23" ht="23.25" customHeight="1">
      <c r="A76" s="592" t="s">
        <v>435</v>
      </c>
      <c r="B76" s="592"/>
      <c r="C76" s="592"/>
      <c r="D76" s="592"/>
      <c r="E76" s="592"/>
      <c r="F76" s="592"/>
      <c r="G76" s="592"/>
      <c r="H76" s="592"/>
      <c r="I76" s="592"/>
      <c r="J76" s="592"/>
      <c r="K76" s="592"/>
      <c r="L76" s="176">
        <f>L64-L75</f>
        <v>63049</v>
      </c>
      <c r="M76" s="593"/>
      <c r="N76" s="593"/>
    </row>
    <row r="77" spans="1:23" ht="13.5" customHeight="1"/>
    <row r="78" spans="1:23" ht="13.5" customHeight="1"/>
    <row r="79" spans="1:23" ht="13.5" customHeight="1">
      <c r="A79" s="174" t="s">
        <v>436</v>
      </c>
      <c r="B79" s="174"/>
      <c r="C79" s="174"/>
      <c r="D79" s="174"/>
      <c r="E79" s="174"/>
      <c r="F79" s="174"/>
      <c r="G79" s="174"/>
      <c r="H79" s="174"/>
      <c r="I79" s="174"/>
      <c r="J79" s="174"/>
      <c r="K79" s="174"/>
      <c r="L79" s="174"/>
      <c r="M79" s="279"/>
      <c r="N79" s="279"/>
    </row>
    <row r="80" spans="1:23" ht="13.5" customHeight="1">
      <c r="A80" s="280" t="s">
        <v>373</v>
      </c>
      <c r="B80" s="281" t="s">
        <v>437</v>
      </c>
      <c r="C80" s="174"/>
      <c r="D80" s="174"/>
      <c r="E80" s="174"/>
      <c r="F80" s="174"/>
      <c r="G80" s="174"/>
      <c r="H80" s="174"/>
      <c r="I80" s="174"/>
      <c r="J80" s="174"/>
      <c r="K80" s="174"/>
      <c r="L80" s="174"/>
      <c r="M80" s="279"/>
      <c r="N80" s="279"/>
    </row>
    <row r="81" spans="1:15" ht="13.5" customHeight="1">
      <c r="A81" s="164"/>
      <c r="B81" s="174"/>
      <c r="C81" s="174"/>
      <c r="D81" s="174"/>
      <c r="E81" s="174"/>
      <c r="F81" s="174"/>
      <c r="G81" s="174"/>
      <c r="H81" s="174"/>
      <c r="I81" s="174"/>
      <c r="J81" s="174"/>
      <c r="K81" s="174"/>
      <c r="L81" s="174"/>
      <c r="M81" s="279"/>
      <c r="N81" s="279"/>
    </row>
    <row r="82" spans="1:15" s="284" customFormat="1" ht="21.75" customHeight="1">
      <c r="A82" s="597" t="s">
        <v>438</v>
      </c>
      <c r="B82" s="597"/>
      <c r="C82" s="598" t="s">
        <v>250</v>
      </c>
      <c r="D82" s="598"/>
      <c r="E82" s="598"/>
      <c r="F82" s="598"/>
      <c r="G82" s="598"/>
      <c r="H82" s="598"/>
      <c r="I82" s="598"/>
      <c r="J82" s="598"/>
      <c r="K82" s="598"/>
      <c r="L82" s="282"/>
      <c r="M82" s="282"/>
      <c r="N82" s="282"/>
      <c r="O82" s="283"/>
    </row>
    <row r="83" spans="1:15" s="284" customFormat="1" ht="15" customHeight="1">
      <c r="A83" s="282"/>
      <c r="B83" s="282"/>
      <c r="C83" s="282"/>
      <c r="D83" s="282"/>
      <c r="E83" s="282"/>
      <c r="F83" s="282"/>
      <c r="G83" s="282"/>
      <c r="H83" s="282"/>
      <c r="I83" s="282"/>
      <c r="J83" s="282"/>
      <c r="K83" s="282"/>
      <c r="L83" s="285"/>
      <c r="M83" s="285"/>
      <c r="N83" s="286"/>
      <c r="O83" s="283"/>
    </row>
    <row r="84" spans="1:15" s="284" customFormat="1" ht="15" customHeight="1">
      <c r="A84" s="282"/>
      <c r="B84" s="282"/>
      <c r="C84" s="282"/>
      <c r="D84" s="282"/>
      <c r="E84" s="282"/>
      <c r="F84" s="282"/>
      <c r="G84" s="282"/>
      <c r="H84" s="282"/>
      <c r="I84" s="282"/>
      <c r="J84" s="282"/>
      <c r="K84" s="282"/>
      <c r="L84" s="285"/>
      <c r="M84" s="285"/>
      <c r="N84" s="286"/>
    </row>
    <row r="85" spans="1:15" s="284" customFormat="1" ht="22.5" customHeight="1">
      <c r="A85" s="287" t="s">
        <v>347</v>
      </c>
      <c r="B85" s="599" t="s">
        <v>245</v>
      </c>
      <c r="C85" s="599"/>
      <c r="D85" s="288" t="s">
        <v>383</v>
      </c>
      <c r="E85" s="599" t="s">
        <v>384</v>
      </c>
      <c r="F85" s="599"/>
      <c r="G85" s="599" t="s">
        <v>384</v>
      </c>
      <c r="H85" s="599"/>
      <c r="I85" s="599" t="s">
        <v>384</v>
      </c>
      <c r="J85" s="599"/>
      <c r="K85" s="289" t="s">
        <v>385</v>
      </c>
      <c r="L85" s="290" t="s">
        <v>386</v>
      </c>
      <c r="M85" s="291" t="s">
        <v>387</v>
      </c>
      <c r="N85" s="292" t="s">
        <v>388</v>
      </c>
    </row>
    <row r="86" spans="1:15" s="282" customFormat="1" ht="18.75" customHeight="1">
      <c r="A86" s="600" t="s">
        <v>349</v>
      </c>
      <c r="B86" s="601" t="s">
        <v>350</v>
      </c>
      <c r="C86" s="601"/>
      <c r="D86" s="293" t="s">
        <v>439</v>
      </c>
      <c r="E86" s="294">
        <v>1</v>
      </c>
      <c r="F86" s="295" t="s">
        <v>390</v>
      </c>
      <c r="G86" s="296">
        <v>12</v>
      </c>
      <c r="H86" s="297" t="s">
        <v>391</v>
      </c>
      <c r="I86" s="296">
        <v>1</v>
      </c>
      <c r="J86" s="297" t="s">
        <v>392</v>
      </c>
      <c r="K86" s="298">
        <v>250000</v>
      </c>
      <c r="L86" s="299">
        <f>IF(ISNUMBER(K86),(ROUNDDOWN(PRODUCT(E86,G86,I86,K86)/1000,0)),"")</f>
        <v>3000</v>
      </c>
      <c r="M86" s="300"/>
      <c r="N86" s="301" t="s">
        <v>393</v>
      </c>
    </row>
    <row r="87" spans="1:15" s="282" customFormat="1" ht="18.75" customHeight="1">
      <c r="A87" s="600"/>
      <c r="B87" s="601"/>
      <c r="C87" s="601"/>
      <c r="D87" s="302"/>
      <c r="E87" s="303"/>
      <c r="F87" s="304"/>
      <c r="G87" s="305"/>
      <c r="H87" s="306"/>
      <c r="I87" s="305"/>
      <c r="J87" s="306"/>
      <c r="K87" s="307"/>
      <c r="L87" s="308" t="str">
        <f>IF(ISNUMBER(K87),(ROUNDDOWN(PRODUCT(E87,G87,I87,K87)/1000,0)),"")</f>
        <v/>
      </c>
      <c r="M87" s="309"/>
      <c r="N87" s="310"/>
    </row>
    <row r="88" spans="1:15" s="282" customFormat="1" ht="18.75" customHeight="1">
      <c r="A88" s="600"/>
      <c r="B88" s="601"/>
      <c r="C88" s="601"/>
      <c r="D88" s="302"/>
      <c r="E88" s="303"/>
      <c r="F88" s="304"/>
      <c r="G88" s="305"/>
      <c r="H88" s="306"/>
      <c r="I88" s="305"/>
      <c r="J88" s="306"/>
      <c r="K88" s="307"/>
      <c r="L88" s="308" t="str">
        <f>IF(ISNUMBER(K88),(ROUNDDOWN(PRODUCT(E88,G88,I88,K88)/1000,0)),"")</f>
        <v/>
      </c>
      <c r="M88" s="309"/>
      <c r="N88" s="310"/>
    </row>
    <row r="89" spans="1:15" s="282" customFormat="1" ht="18.75" customHeight="1">
      <c r="A89" s="600"/>
      <c r="B89" s="601"/>
      <c r="C89" s="601"/>
      <c r="D89" s="311"/>
      <c r="E89" s="312"/>
      <c r="F89" s="313"/>
      <c r="G89" s="314"/>
      <c r="H89" s="315"/>
      <c r="I89" s="314"/>
      <c r="J89" s="315"/>
      <c r="K89" s="316"/>
      <c r="L89" s="317" t="str">
        <f>IF(ISNUMBER(K89),(ROUNDDOWN(PRODUCT(E89,G89,I89,K89)/1000,0)),"")</f>
        <v/>
      </c>
      <c r="M89" s="318"/>
      <c r="N89" s="319"/>
    </row>
    <row r="90" spans="1:15" s="282" customFormat="1" ht="18.75" customHeight="1">
      <c r="A90" s="600"/>
      <c r="B90" s="601"/>
      <c r="C90" s="601"/>
      <c r="D90" s="602" t="s">
        <v>396</v>
      </c>
      <c r="E90" s="602"/>
      <c r="F90" s="602"/>
      <c r="G90" s="602"/>
      <c r="H90" s="602"/>
      <c r="I90" s="602"/>
      <c r="J90" s="602"/>
      <c r="K90" s="602"/>
      <c r="L90" s="320">
        <f>SUM(L86:L89)</f>
        <v>3000</v>
      </c>
      <c r="M90" s="603"/>
      <c r="N90" s="603"/>
    </row>
    <row r="91" spans="1:15" s="282" customFormat="1" ht="18.75" customHeight="1">
      <c r="A91" s="600" t="s">
        <v>351</v>
      </c>
      <c r="B91" s="601" t="s">
        <v>352</v>
      </c>
      <c r="C91" s="601"/>
      <c r="D91" s="293"/>
      <c r="E91" s="294"/>
      <c r="F91" s="295"/>
      <c r="G91" s="296"/>
      <c r="H91" s="297"/>
      <c r="I91" s="296"/>
      <c r="J91" s="297"/>
      <c r="K91" s="298"/>
      <c r="L91" s="299" t="str">
        <f>IF(ISNUMBER(K91),(ROUNDDOWN(PRODUCT(E91,G91,I91,K91)/1000,0)),"")</f>
        <v/>
      </c>
      <c r="M91" s="300"/>
      <c r="N91" s="301"/>
    </row>
    <row r="92" spans="1:15" s="282" customFormat="1" ht="18.75" customHeight="1">
      <c r="A92" s="600"/>
      <c r="B92" s="601"/>
      <c r="C92" s="601"/>
      <c r="D92" s="302"/>
      <c r="E92" s="303"/>
      <c r="F92" s="304"/>
      <c r="G92" s="305"/>
      <c r="H92" s="306"/>
      <c r="I92" s="305"/>
      <c r="J92" s="306"/>
      <c r="K92" s="307"/>
      <c r="L92" s="308" t="str">
        <f>IF(ISNUMBER(K92),(ROUNDDOWN(PRODUCT(E92,G92,I92,K92)/1000,0)),"")</f>
        <v/>
      </c>
      <c r="M92" s="309"/>
      <c r="N92" s="310"/>
    </row>
    <row r="93" spans="1:15" s="282" customFormat="1" ht="18.75" customHeight="1">
      <c r="A93" s="600"/>
      <c r="B93" s="601"/>
      <c r="C93" s="601"/>
      <c r="D93" s="311"/>
      <c r="E93" s="312"/>
      <c r="F93" s="313"/>
      <c r="G93" s="314"/>
      <c r="H93" s="315"/>
      <c r="I93" s="314"/>
      <c r="J93" s="315"/>
      <c r="K93" s="316"/>
      <c r="L93" s="317" t="str">
        <f>IF(ISNUMBER(K93),(ROUNDDOWN(PRODUCT(E93,G93,I93,K93)/1000,0)),"")</f>
        <v/>
      </c>
      <c r="M93" s="318"/>
      <c r="N93" s="319"/>
    </row>
    <row r="94" spans="1:15" s="282" customFormat="1" ht="18.75" customHeight="1">
      <c r="A94" s="600"/>
      <c r="B94" s="601"/>
      <c r="C94" s="601"/>
      <c r="D94" s="602" t="s">
        <v>396</v>
      </c>
      <c r="E94" s="602"/>
      <c r="F94" s="602"/>
      <c r="G94" s="602"/>
      <c r="H94" s="602"/>
      <c r="I94" s="602"/>
      <c r="J94" s="602"/>
      <c r="K94" s="602"/>
      <c r="L94" s="321">
        <f>SUM(L91:L93)</f>
        <v>0</v>
      </c>
      <c r="M94" s="603"/>
      <c r="N94" s="603"/>
    </row>
    <row r="95" spans="1:15" s="282" customFormat="1" ht="18.75" customHeight="1">
      <c r="A95" s="600"/>
      <c r="B95" s="601" t="s">
        <v>353</v>
      </c>
      <c r="C95" s="601"/>
      <c r="D95" s="293"/>
      <c r="E95" s="294"/>
      <c r="F95" s="295"/>
      <c r="G95" s="296"/>
      <c r="H95" s="297"/>
      <c r="I95" s="296"/>
      <c r="J95" s="297"/>
      <c r="K95" s="298"/>
      <c r="L95" s="299" t="str">
        <f>IF(ISNUMBER(K95),(ROUNDDOWN(PRODUCT(E95,G95,I95,K95)/1000,0)),"")</f>
        <v/>
      </c>
      <c r="M95" s="300"/>
      <c r="N95" s="301"/>
    </row>
    <row r="96" spans="1:15" s="282" customFormat="1" ht="18.75" customHeight="1">
      <c r="A96" s="600"/>
      <c r="B96" s="601"/>
      <c r="C96" s="601"/>
      <c r="D96" s="302"/>
      <c r="E96" s="303"/>
      <c r="F96" s="304"/>
      <c r="G96" s="305"/>
      <c r="H96" s="306"/>
      <c r="I96" s="305"/>
      <c r="J96" s="306"/>
      <c r="K96" s="307"/>
      <c r="L96" s="308" t="str">
        <f>IF(ISNUMBER(K96),(ROUNDDOWN(PRODUCT(E96,G96,I96,K96)/1000,0)),"")</f>
        <v/>
      </c>
      <c r="M96" s="309"/>
      <c r="N96" s="310"/>
    </row>
    <row r="97" spans="1:14" s="282" customFormat="1" ht="18.75" customHeight="1">
      <c r="A97" s="600"/>
      <c r="B97" s="601"/>
      <c r="C97" s="601"/>
      <c r="D97" s="311"/>
      <c r="E97" s="312"/>
      <c r="F97" s="313"/>
      <c r="G97" s="314"/>
      <c r="H97" s="315"/>
      <c r="I97" s="314"/>
      <c r="J97" s="315"/>
      <c r="K97" s="316"/>
      <c r="L97" s="317" t="str">
        <f>IF(ISNUMBER(K97),(ROUNDDOWN(PRODUCT(E97,G97,I97,K97)/1000,0)),"")</f>
        <v/>
      </c>
      <c r="M97" s="318"/>
      <c r="N97" s="319"/>
    </row>
    <row r="98" spans="1:14" s="282" customFormat="1" ht="18.75" customHeight="1">
      <c r="A98" s="600"/>
      <c r="B98" s="601"/>
      <c r="C98" s="601"/>
      <c r="D98" s="602" t="s">
        <v>396</v>
      </c>
      <c r="E98" s="602"/>
      <c r="F98" s="602"/>
      <c r="G98" s="602"/>
      <c r="H98" s="602"/>
      <c r="I98" s="602"/>
      <c r="J98" s="602"/>
      <c r="K98" s="602"/>
      <c r="L98" s="322">
        <f>SUM(L95:L97)</f>
        <v>0</v>
      </c>
      <c r="M98" s="603"/>
      <c r="N98" s="603"/>
    </row>
    <row r="99" spans="1:14" s="282" customFormat="1" ht="18.75" customHeight="1">
      <c r="A99" s="600"/>
      <c r="B99" s="601" t="s">
        <v>354</v>
      </c>
      <c r="C99" s="601"/>
      <c r="D99" s="293"/>
      <c r="E99" s="294"/>
      <c r="F99" s="295"/>
      <c r="G99" s="296"/>
      <c r="H99" s="297"/>
      <c r="I99" s="296"/>
      <c r="J99" s="297"/>
      <c r="K99" s="298"/>
      <c r="L99" s="299" t="str">
        <f>IF(ISNUMBER(K99),(ROUNDDOWN(PRODUCT(E99,G99,I99,K99)/1000,0)),"")</f>
        <v/>
      </c>
      <c r="M99" s="300"/>
      <c r="N99" s="301"/>
    </row>
    <row r="100" spans="1:14" s="282" customFormat="1" ht="18.75" customHeight="1">
      <c r="A100" s="600"/>
      <c r="B100" s="601"/>
      <c r="C100" s="601"/>
      <c r="D100" s="302"/>
      <c r="E100" s="303"/>
      <c r="F100" s="304"/>
      <c r="G100" s="305"/>
      <c r="H100" s="306"/>
      <c r="I100" s="305"/>
      <c r="J100" s="306"/>
      <c r="K100" s="307"/>
      <c r="L100" s="308" t="str">
        <f>IF(ISNUMBER(K100),(ROUNDDOWN(PRODUCT(E100,G100,I100,K100)/1000,0)),"")</f>
        <v/>
      </c>
      <c r="M100" s="309"/>
      <c r="N100" s="310"/>
    </row>
    <row r="101" spans="1:14" s="282" customFormat="1" ht="18.75" customHeight="1">
      <c r="A101" s="600"/>
      <c r="B101" s="601"/>
      <c r="C101" s="601"/>
      <c r="D101" s="311"/>
      <c r="E101" s="312"/>
      <c r="F101" s="313"/>
      <c r="G101" s="314"/>
      <c r="H101" s="315"/>
      <c r="I101" s="314"/>
      <c r="J101" s="315"/>
      <c r="K101" s="316"/>
      <c r="L101" s="317" t="str">
        <f>IF(ISNUMBER(K101),(ROUNDDOWN(PRODUCT(E101,G101,I101,K101)/1000,0)),"")</f>
        <v/>
      </c>
      <c r="M101" s="318"/>
      <c r="N101" s="319"/>
    </row>
    <row r="102" spans="1:14" s="282" customFormat="1" ht="18.75" customHeight="1">
      <c r="A102" s="600"/>
      <c r="B102" s="601"/>
      <c r="C102" s="601"/>
      <c r="D102" s="602" t="s">
        <v>396</v>
      </c>
      <c r="E102" s="602"/>
      <c r="F102" s="602"/>
      <c r="G102" s="602"/>
      <c r="H102" s="602"/>
      <c r="I102" s="602"/>
      <c r="J102" s="602"/>
      <c r="K102" s="602"/>
      <c r="L102" s="323">
        <f>SUM(L99:L101)</f>
        <v>0</v>
      </c>
      <c r="M102" s="603"/>
      <c r="N102" s="603"/>
    </row>
    <row r="103" spans="1:14" s="282" customFormat="1" ht="18.75" customHeight="1">
      <c r="A103" s="600"/>
      <c r="B103" s="601" t="s">
        <v>355</v>
      </c>
      <c r="C103" s="601"/>
      <c r="D103" s="293"/>
      <c r="E103" s="294"/>
      <c r="F103" s="295"/>
      <c r="G103" s="296"/>
      <c r="H103" s="297"/>
      <c r="I103" s="296"/>
      <c r="J103" s="297"/>
      <c r="K103" s="298"/>
      <c r="L103" s="299" t="str">
        <f>IF(ISNUMBER(K103),(ROUNDDOWN(PRODUCT(E103,G103,I103,K103)/1000,0)),"")</f>
        <v/>
      </c>
      <c r="M103" s="300"/>
      <c r="N103" s="301"/>
    </row>
    <row r="104" spans="1:14" s="282" customFormat="1" ht="18.75" customHeight="1">
      <c r="A104" s="600"/>
      <c r="B104" s="601"/>
      <c r="C104" s="601"/>
      <c r="D104" s="302"/>
      <c r="E104" s="303"/>
      <c r="F104" s="304"/>
      <c r="G104" s="305"/>
      <c r="H104" s="306"/>
      <c r="I104" s="305"/>
      <c r="J104" s="306"/>
      <c r="K104" s="307"/>
      <c r="L104" s="308" t="str">
        <f>IF(ISNUMBER(K104),(ROUNDDOWN(PRODUCT(E104,G104,I104,K104)/1000,0)),"")</f>
        <v/>
      </c>
      <c r="M104" s="309"/>
      <c r="N104" s="310"/>
    </row>
    <row r="105" spans="1:14" s="282" customFormat="1" ht="18.75" customHeight="1">
      <c r="A105" s="600"/>
      <c r="B105" s="601"/>
      <c r="C105" s="601"/>
      <c r="D105" s="311"/>
      <c r="E105" s="312"/>
      <c r="F105" s="313"/>
      <c r="G105" s="314"/>
      <c r="H105" s="315"/>
      <c r="I105" s="314"/>
      <c r="J105" s="315"/>
      <c r="K105" s="316"/>
      <c r="L105" s="317" t="str">
        <f>IF(ISNUMBER(K105),(ROUNDDOWN(PRODUCT(E105,G105,I105,K105)/1000,0)),"")</f>
        <v/>
      </c>
      <c r="M105" s="318"/>
      <c r="N105" s="319"/>
    </row>
    <row r="106" spans="1:14" s="282" customFormat="1" ht="18.75" customHeight="1">
      <c r="A106" s="600"/>
      <c r="B106" s="601"/>
      <c r="C106" s="601"/>
      <c r="D106" s="602" t="s">
        <v>396</v>
      </c>
      <c r="E106" s="602"/>
      <c r="F106" s="602"/>
      <c r="G106" s="602"/>
      <c r="H106" s="602"/>
      <c r="I106" s="602"/>
      <c r="J106" s="602"/>
      <c r="K106" s="602"/>
      <c r="L106" s="320">
        <f>SUM(L103:L105)</f>
        <v>0</v>
      </c>
      <c r="M106" s="603"/>
      <c r="N106" s="603"/>
    </row>
    <row r="107" spans="1:14" s="282" customFormat="1" ht="18.75" customHeight="1">
      <c r="A107" s="600"/>
      <c r="B107" s="601" t="s">
        <v>356</v>
      </c>
      <c r="C107" s="601"/>
      <c r="D107" s="293"/>
      <c r="E107" s="294"/>
      <c r="F107" s="295"/>
      <c r="G107" s="296"/>
      <c r="H107" s="297"/>
      <c r="I107" s="296"/>
      <c r="J107" s="297"/>
      <c r="K107" s="298"/>
      <c r="L107" s="299" t="str">
        <f>IF(ISNUMBER(K107),(ROUNDDOWN(PRODUCT(E107,G107,I107,K107)/1000,0)),"")</f>
        <v/>
      </c>
      <c r="M107" s="300"/>
      <c r="N107" s="301"/>
    </row>
    <row r="108" spans="1:14" s="282" customFormat="1" ht="18.75" customHeight="1">
      <c r="A108" s="600"/>
      <c r="B108" s="601"/>
      <c r="C108" s="601"/>
      <c r="D108" s="302"/>
      <c r="E108" s="303"/>
      <c r="F108" s="304"/>
      <c r="G108" s="305"/>
      <c r="H108" s="306"/>
      <c r="I108" s="305"/>
      <c r="J108" s="306"/>
      <c r="K108" s="307"/>
      <c r="L108" s="308" t="str">
        <f>IF(ISNUMBER(K108),(ROUNDDOWN(PRODUCT(E108,G108,I108,K108)/1000,0)),"")</f>
        <v/>
      </c>
      <c r="M108" s="309"/>
      <c r="N108" s="310"/>
    </row>
    <row r="109" spans="1:14" s="282" customFormat="1" ht="18.75" customHeight="1">
      <c r="A109" s="600"/>
      <c r="B109" s="601"/>
      <c r="C109" s="601"/>
      <c r="D109" s="311"/>
      <c r="E109" s="312"/>
      <c r="F109" s="313"/>
      <c r="G109" s="314"/>
      <c r="H109" s="315"/>
      <c r="I109" s="314"/>
      <c r="J109" s="315"/>
      <c r="K109" s="316"/>
      <c r="L109" s="317" t="str">
        <f>IF(ISNUMBER(K109),(ROUNDDOWN(PRODUCT(E109,G109,I109,K109)/1000,0)),"")</f>
        <v/>
      </c>
      <c r="M109" s="318"/>
      <c r="N109" s="319"/>
    </row>
    <row r="110" spans="1:14" s="282" customFormat="1" ht="18.75" customHeight="1">
      <c r="A110" s="600"/>
      <c r="B110" s="601"/>
      <c r="C110" s="601"/>
      <c r="D110" s="602" t="s">
        <v>396</v>
      </c>
      <c r="E110" s="602"/>
      <c r="F110" s="602"/>
      <c r="G110" s="602"/>
      <c r="H110" s="602"/>
      <c r="I110" s="602"/>
      <c r="J110" s="602"/>
      <c r="K110" s="602"/>
      <c r="L110" s="323">
        <f>SUM(L107:L109)</f>
        <v>0</v>
      </c>
      <c r="M110" s="603"/>
      <c r="N110" s="603"/>
    </row>
    <row r="111" spans="1:14" s="282" customFormat="1" ht="18.75" customHeight="1">
      <c r="A111" s="600"/>
      <c r="B111" s="604" t="s">
        <v>357</v>
      </c>
      <c r="C111" s="604"/>
      <c r="D111" s="293"/>
      <c r="E111" s="294"/>
      <c r="F111" s="295"/>
      <c r="G111" s="296"/>
      <c r="H111" s="297"/>
      <c r="I111" s="296"/>
      <c r="J111" s="297"/>
      <c r="K111" s="298"/>
      <c r="L111" s="299" t="str">
        <f>IF(ISNUMBER(K111),(ROUNDDOWN(PRODUCT(E111,G111,I111,K111)/1000,0)),"")</f>
        <v/>
      </c>
      <c r="M111" s="300"/>
      <c r="N111" s="301"/>
    </row>
    <row r="112" spans="1:14" s="282" customFormat="1" ht="19.5" customHeight="1">
      <c r="A112" s="600"/>
      <c r="B112" s="604"/>
      <c r="C112" s="604"/>
      <c r="D112" s="302"/>
      <c r="E112" s="303"/>
      <c r="F112" s="304"/>
      <c r="G112" s="305"/>
      <c r="H112" s="306"/>
      <c r="I112" s="305"/>
      <c r="J112" s="306"/>
      <c r="K112" s="307"/>
      <c r="L112" s="308" t="str">
        <f>IF(ISNUMBER(K112),(ROUNDDOWN(PRODUCT(E112,G112,I112,K112)/1000,0)),"")</f>
        <v/>
      </c>
      <c r="M112" s="309"/>
      <c r="N112" s="310"/>
    </row>
    <row r="113" spans="1:14" s="282" customFormat="1" ht="18.75" customHeight="1">
      <c r="A113" s="600"/>
      <c r="B113" s="604"/>
      <c r="C113" s="604"/>
      <c r="D113" s="311"/>
      <c r="E113" s="312"/>
      <c r="F113" s="313"/>
      <c r="G113" s="314"/>
      <c r="H113" s="315"/>
      <c r="I113" s="314"/>
      <c r="J113" s="315"/>
      <c r="K113" s="316"/>
      <c r="L113" s="317" t="str">
        <f>IF(ISNUMBER(K113),(ROUNDDOWN(PRODUCT(E113,G113,I113,K113)/1000,0)),"")</f>
        <v/>
      </c>
      <c r="M113" s="318"/>
      <c r="N113" s="319"/>
    </row>
    <row r="114" spans="1:14" s="282" customFormat="1" ht="18.75" customHeight="1">
      <c r="A114" s="600"/>
      <c r="B114" s="604"/>
      <c r="C114" s="604"/>
      <c r="D114" s="602" t="s">
        <v>396</v>
      </c>
      <c r="E114" s="602"/>
      <c r="F114" s="602"/>
      <c r="G114" s="602"/>
      <c r="H114" s="602"/>
      <c r="I114" s="602"/>
      <c r="J114" s="602"/>
      <c r="K114" s="602"/>
      <c r="L114" s="320">
        <f>SUM(L111:L113)</f>
        <v>0</v>
      </c>
      <c r="M114" s="603"/>
      <c r="N114" s="603"/>
    </row>
    <row r="115" spans="1:14" s="282" customFormat="1" ht="18.75" customHeight="1">
      <c r="A115" s="600"/>
      <c r="B115" s="601" t="s">
        <v>358</v>
      </c>
      <c r="C115" s="601"/>
      <c r="D115" s="293" t="s">
        <v>440</v>
      </c>
      <c r="E115" s="294">
        <v>1</v>
      </c>
      <c r="F115" s="295" t="s">
        <v>410</v>
      </c>
      <c r="G115" s="296">
        <v>1</v>
      </c>
      <c r="H115" s="297" t="s">
        <v>401</v>
      </c>
      <c r="I115" s="296">
        <v>1</v>
      </c>
      <c r="J115" s="297" t="s">
        <v>392</v>
      </c>
      <c r="K115" s="298">
        <v>1500000</v>
      </c>
      <c r="L115" s="204">
        <f>IF(ISNUMBER(K115),(ROUNDDOWN(PRODUCT(E115,G115,I115,K115)/1000,0)),"")</f>
        <v>1500</v>
      </c>
      <c r="M115" s="300"/>
      <c r="N115" s="301"/>
    </row>
    <row r="116" spans="1:14" s="282" customFormat="1" ht="18.75" customHeight="1">
      <c r="A116" s="600"/>
      <c r="B116" s="601"/>
      <c r="C116" s="601"/>
      <c r="D116" s="324" t="s">
        <v>441</v>
      </c>
      <c r="E116" s="303">
        <v>1</v>
      </c>
      <c r="F116" s="325" t="s">
        <v>410</v>
      </c>
      <c r="G116" s="305">
        <v>1</v>
      </c>
      <c r="H116" s="326" t="s">
        <v>401</v>
      </c>
      <c r="I116" s="305">
        <v>1</v>
      </c>
      <c r="J116" s="326" t="s">
        <v>392</v>
      </c>
      <c r="K116" s="307">
        <v>500000</v>
      </c>
      <c r="L116" s="214">
        <f>IF(ISNUMBER(K116),(ROUNDDOWN(PRODUCT(E116,G116,I116,K116)/1000,0)),"")</f>
        <v>500</v>
      </c>
      <c r="M116" s="309"/>
      <c r="N116" s="310"/>
    </row>
    <row r="117" spans="1:14" s="282" customFormat="1" ht="18.75" customHeight="1">
      <c r="A117" s="600"/>
      <c r="B117" s="601"/>
      <c r="C117" s="601"/>
      <c r="D117" s="324"/>
      <c r="E117" s="303"/>
      <c r="F117" s="325"/>
      <c r="G117" s="305"/>
      <c r="H117" s="326"/>
      <c r="I117" s="305"/>
      <c r="J117" s="326"/>
      <c r="K117" s="307"/>
      <c r="L117" s="214" t="str">
        <f>IF(ISNUMBER(K117),(ROUNDDOWN(PRODUCT(E117,G117,I117,K117)/1000,0)),"")</f>
        <v/>
      </c>
      <c r="M117" s="309"/>
      <c r="N117" s="310"/>
    </row>
    <row r="118" spans="1:14" s="282" customFormat="1" ht="18.75" customHeight="1">
      <c r="A118" s="600"/>
      <c r="B118" s="601"/>
      <c r="C118" s="601"/>
      <c r="D118" s="311"/>
      <c r="E118" s="312"/>
      <c r="F118" s="313"/>
      <c r="G118" s="314"/>
      <c r="H118" s="315"/>
      <c r="I118" s="314"/>
      <c r="J118" s="315"/>
      <c r="K118" s="316"/>
      <c r="L118" s="223" t="str">
        <f>IF(ISNUMBER(K118),(ROUNDDOWN(PRODUCT(E118,G118,I118,K118)/1000,0)),"")</f>
        <v/>
      </c>
      <c r="M118" s="318"/>
      <c r="N118" s="319"/>
    </row>
    <row r="119" spans="1:14" s="282" customFormat="1" ht="18.75" customHeight="1">
      <c r="A119" s="600"/>
      <c r="B119" s="601"/>
      <c r="C119" s="601"/>
      <c r="D119" s="602" t="s">
        <v>396</v>
      </c>
      <c r="E119" s="602"/>
      <c r="F119" s="602"/>
      <c r="G119" s="602"/>
      <c r="H119" s="602"/>
      <c r="I119" s="602"/>
      <c r="J119" s="602"/>
      <c r="K119" s="602"/>
      <c r="L119" s="321">
        <f>SUM(L115:L118)</f>
        <v>2000</v>
      </c>
      <c r="M119" s="603"/>
      <c r="N119" s="603"/>
    </row>
    <row r="120" spans="1:14" s="282" customFormat="1" ht="18.75" customHeight="1">
      <c r="A120" s="600"/>
      <c r="B120" s="601" t="s">
        <v>359</v>
      </c>
      <c r="C120" s="601"/>
      <c r="D120" s="293"/>
      <c r="E120" s="294"/>
      <c r="F120" s="295"/>
      <c r="G120" s="296"/>
      <c r="H120" s="297"/>
      <c r="I120" s="296"/>
      <c r="J120" s="297"/>
      <c r="K120" s="298"/>
      <c r="L120" s="204" t="str">
        <f>IF(ISNUMBER(K120),(ROUNDDOWN(PRODUCT(E120,G120,I120,K120)/1000,0)),"")</f>
        <v/>
      </c>
      <c r="M120" s="300"/>
      <c r="N120" s="301"/>
    </row>
    <row r="121" spans="1:14" s="282" customFormat="1" ht="18.75" customHeight="1">
      <c r="A121" s="600"/>
      <c r="B121" s="601"/>
      <c r="C121" s="601"/>
      <c r="D121" s="324"/>
      <c r="E121" s="303"/>
      <c r="F121" s="325"/>
      <c r="G121" s="305"/>
      <c r="H121" s="326"/>
      <c r="I121" s="305"/>
      <c r="J121" s="326"/>
      <c r="K121" s="307"/>
      <c r="L121" s="214" t="str">
        <f>IF(ISNUMBER(K121),(ROUNDDOWN(PRODUCT(E121,G121,I121,K121)/1000,0)),"")</f>
        <v/>
      </c>
      <c r="M121" s="309"/>
      <c r="N121" s="310"/>
    </row>
    <row r="122" spans="1:14" s="282" customFormat="1" ht="18.75" customHeight="1">
      <c r="A122" s="600"/>
      <c r="B122" s="601"/>
      <c r="C122" s="601"/>
      <c r="D122" s="324"/>
      <c r="E122" s="303"/>
      <c r="F122" s="325"/>
      <c r="G122" s="305"/>
      <c r="H122" s="326"/>
      <c r="I122" s="305"/>
      <c r="J122" s="326"/>
      <c r="K122" s="307"/>
      <c r="L122" s="214" t="str">
        <f>IF(ISNUMBER(K122),(ROUNDDOWN(PRODUCT(E122,G122,I122,K122)/1000,0)),"")</f>
        <v/>
      </c>
      <c r="M122" s="309"/>
      <c r="N122" s="310"/>
    </row>
    <row r="123" spans="1:14" s="282" customFormat="1" ht="18.75" customHeight="1">
      <c r="A123" s="600"/>
      <c r="B123" s="601"/>
      <c r="C123" s="601"/>
      <c r="D123" s="311"/>
      <c r="E123" s="312"/>
      <c r="F123" s="313"/>
      <c r="G123" s="314"/>
      <c r="H123" s="315"/>
      <c r="I123" s="314"/>
      <c r="J123" s="315"/>
      <c r="K123" s="316"/>
      <c r="L123" s="223" t="str">
        <f>IF(ISNUMBER(K123),(ROUNDDOWN(PRODUCT(E123,G123,I123,K123)/1000,0)),"")</f>
        <v/>
      </c>
      <c r="M123" s="318"/>
      <c r="N123" s="319"/>
    </row>
    <row r="124" spans="1:14" s="282" customFormat="1" ht="18.75" customHeight="1">
      <c r="A124" s="600"/>
      <c r="B124" s="601"/>
      <c r="C124" s="601"/>
      <c r="D124" s="602" t="s">
        <v>396</v>
      </c>
      <c r="E124" s="602"/>
      <c r="F124" s="602"/>
      <c r="G124" s="602"/>
      <c r="H124" s="602"/>
      <c r="I124" s="602"/>
      <c r="J124" s="602"/>
      <c r="K124" s="602"/>
      <c r="L124" s="321">
        <f>SUM(L120:L123)</f>
        <v>0</v>
      </c>
      <c r="M124" s="603"/>
      <c r="N124" s="603"/>
    </row>
    <row r="125" spans="1:14" s="282" customFormat="1" ht="22.5" customHeight="1">
      <c r="A125" s="600" t="s">
        <v>442</v>
      </c>
      <c r="B125" s="600"/>
      <c r="C125" s="600"/>
      <c r="D125" s="605"/>
      <c r="E125" s="605"/>
      <c r="F125" s="605"/>
      <c r="G125" s="605"/>
      <c r="H125" s="605"/>
      <c r="I125" s="605"/>
      <c r="J125" s="605"/>
      <c r="K125" s="605"/>
      <c r="L125" s="327"/>
      <c r="M125" s="606"/>
      <c r="N125" s="606"/>
    </row>
    <row r="126" spans="1:14" s="282" customFormat="1" ht="22.5" customHeight="1">
      <c r="A126" s="600" t="s">
        <v>443</v>
      </c>
      <c r="B126" s="600"/>
      <c r="C126" s="600"/>
      <c r="D126" s="600"/>
      <c r="E126" s="600"/>
      <c r="F126" s="600"/>
      <c r="G126" s="600"/>
      <c r="H126" s="600"/>
      <c r="I126" s="600"/>
      <c r="J126" s="600"/>
      <c r="K126" s="600"/>
      <c r="L126" s="323">
        <f>SUM(L90,L94,L98,L102,L106,L110,L114,L119,L124,L125)</f>
        <v>5000</v>
      </c>
      <c r="M126" s="603"/>
      <c r="N126" s="603"/>
    </row>
    <row r="127" spans="1:14" s="282" customFormat="1" ht="18.75" customHeight="1">
      <c r="A127" s="607" t="s">
        <v>444</v>
      </c>
      <c r="B127" s="607"/>
      <c r="C127" s="607"/>
      <c r="D127" s="328"/>
      <c r="E127" s="329"/>
      <c r="F127" s="330"/>
      <c r="G127" s="329"/>
      <c r="H127" s="331"/>
      <c r="I127" s="329"/>
      <c r="J127" s="331"/>
      <c r="K127" s="332"/>
      <c r="L127" s="333" t="str">
        <f>IF(ISNUMBER(K127),(PRODUCT(E127,G127,I127,K127)),"")</f>
        <v/>
      </c>
      <c r="M127" s="334"/>
      <c r="N127" s="335"/>
    </row>
    <row r="128" spans="1:14" s="282" customFormat="1" ht="18.75" customHeight="1">
      <c r="A128" s="607"/>
      <c r="B128" s="607"/>
      <c r="C128" s="607"/>
      <c r="D128" s="336"/>
      <c r="E128" s="305"/>
      <c r="F128" s="325"/>
      <c r="G128" s="305"/>
      <c r="H128" s="326"/>
      <c r="I128" s="305"/>
      <c r="J128" s="326"/>
      <c r="K128" s="337"/>
      <c r="L128" s="308" t="str">
        <f>IF(ISNUMBER(K128),(PRODUCT(E128,G128,I128,K128)),"")</f>
        <v/>
      </c>
      <c r="M128" s="309"/>
      <c r="N128" s="310"/>
    </row>
    <row r="129" spans="1:14" s="282" customFormat="1" ht="18.75" customHeight="1">
      <c r="A129" s="607"/>
      <c r="B129" s="607"/>
      <c r="C129" s="607"/>
      <c r="D129" s="338"/>
      <c r="E129" s="314"/>
      <c r="F129" s="313"/>
      <c r="G129" s="314"/>
      <c r="H129" s="315"/>
      <c r="I129" s="314"/>
      <c r="J129" s="315"/>
      <c r="K129" s="339"/>
      <c r="L129" s="317" t="str">
        <f>IF(ISNUMBER(K129),(PRODUCT(E129,G129,I129,K129)),"")</f>
        <v/>
      </c>
      <c r="M129" s="318"/>
      <c r="N129" s="319"/>
    </row>
    <row r="130" spans="1:14" s="282" customFormat="1" ht="18.75" customHeight="1">
      <c r="A130" s="607"/>
      <c r="B130" s="607"/>
      <c r="C130" s="607"/>
      <c r="D130" s="608" t="s">
        <v>396</v>
      </c>
      <c r="E130" s="608"/>
      <c r="F130" s="608"/>
      <c r="G130" s="608"/>
      <c r="H130" s="608"/>
      <c r="I130" s="608"/>
      <c r="J130" s="608"/>
      <c r="K130" s="608"/>
      <c r="L130" s="340">
        <f>SUM(L127:L129)</f>
        <v>0</v>
      </c>
      <c r="M130" s="609"/>
      <c r="N130" s="609"/>
    </row>
    <row r="131" spans="1:14" s="282" customFormat="1" ht="22.5" customHeight="1">
      <c r="A131" s="610" t="s">
        <v>445</v>
      </c>
      <c r="B131" s="610"/>
      <c r="C131" s="610"/>
      <c r="D131" s="610"/>
      <c r="E131" s="610"/>
      <c r="F131" s="610"/>
      <c r="G131" s="610"/>
      <c r="H131" s="610"/>
      <c r="I131" s="610"/>
      <c r="J131" s="610"/>
      <c r="K131" s="610"/>
      <c r="L131" s="341">
        <f>L126-L130</f>
        <v>5000</v>
      </c>
      <c r="M131" s="611"/>
      <c r="N131" s="611"/>
    </row>
  </sheetData>
  <mergeCells count="96">
    <mergeCell ref="A127:C130"/>
    <mergeCell ref="D130:K130"/>
    <mergeCell ref="M130:N130"/>
    <mergeCell ref="A131:K131"/>
    <mergeCell ref="M131:N131"/>
    <mergeCell ref="A125:C125"/>
    <mergeCell ref="D125:K125"/>
    <mergeCell ref="M125:N125"/>
    <mergeCell ref="A126:K126"/>
    <mergeCell ref="M126:N126"/>
    <mergeCell ref="B115:C119"/>
    <mergeCell ref="D119:K119"/>
    <mergeCell ref="M119:N119"/>
    <mergeCell ref="B120:C124"/>
    <mergeCell ref="D124:K124"/>
    <mergeCell ref="M124:N124"/>
    <mergeCell ref="M106:N106"/>
    <mergeCell ref="B107:C110"/>
    <mergeCell ref="D110:K110"/>
    <mergeCell ref="M110:N110"/>
    <mergeCell ref="B111:C114"/>
    <mergeCell ref="D114:K114"/>
    <mergeCell ref="M114:N114"/>
    <mergeCell ref="A86:A90"/>
    <mergeCell ref="B86:C90"/>
    <mergeCell ref="D90:K90"/>
    <mergeCell ref="M90:N90"/>
    <mergeCell ref="A91:A124"/>
    <mergeCell ref="B91:C94"/>
    <mergeCell ref="D94:K94"/>
    <mergeCell ref="M94:N94"/>
    <mergeCell ref="B95:C98"/>
    <mergeCell ref="D98:K98"/>
    <mergeCell ref="M98:N98"/>
    <mergeCell ref="B99:C102"/>
    <mergeCell ref="D102:K102"/>
    <mergeCell ref="M102:N102"/>
    <mergeCell ref="B103:C106"/>
    <mergeCell ref="D106:K106"/>
    <mergeCell ref="A76:K76"/>
    <mergeCell ref="M76:N76"/>
    <mergeCell ref="A82:B82"/>
    <mergeCell ref="C82:K82"/>
    <mergeCell ref="B85:C85"/>
    <mergeCell ref="E85:F85"/>
    <mergeCell ref="G85:H85"/>
    <mergeCell ref="I85:J85"/>
    <mergeCell ref="A68:K68"/>
    <mergeCell ref="M68:N68"/>
    <mergeCell ref="A69:K69"/>
    <mergeCell ref="M69:N69"/>
    <mergeCell ref="A70:C75"/>
    <mergeCell ref="D75:K75"/>
    <mergeCell ref="M75:N75"/>
    <mergeCell ref="A64:K64"/>
    <mergeCell ref="M64:N67"/>
    <mergeCell ref="A65:G67"/>
    <mergeCell ref="H65:K65"/>
    <mergeCell ref="H66:K66"/>
    <mergeCell ref="H67:K67"/>
    <mergeCell ref="B58:C62"/>
    <mergeCell ref="D62:K62"/>
    <mergeCell ref="M62:N62"/>
    <mergeCell ref="A63:C63"/>
    <mergeCell ref="D63:K63"/>
    <mergeCell ref="M63:N63"/>
    <mergeCell ref="M46:N46"/>
    <mergeCell ref="B47:C51"/>
    <mergeCell ref="D51:K51"/>
    <mergeCell ref="M51:N51"/>
    <mergeCell ref="B52:C57"/>
    <mergeCell ref="D57:K57"/>
    <mergeCell ref="M57:N57"/>
    <mergeCell ref="M18:N18"/>
    <mergeCell ref="A19:A62"/>
    <mergeCell ref="B19:C26"/>
    <mergeCell ref="D26:K26"/>
    <mergeCell ref="M26:N26"/>
    <mergeCell ref="B27:C31"/>
    <mergeCell ref="D31:K31"/>
    <mergeCell ref="M31:N31"/>
    <mergeCell ref="B32:C36"/>
    <mergeCell ref="D36:K36"/>
    <mergeCell ref="M36:N36"/>
    <mergeCell ref="B37:C41"/>
    <mergeCell ref="D41:K41"/>
    <mergeCell ref="M41:N41"/>
    <mergeCell ref="B42:C46"/>
    <mergeCell ref="D46:K46"/>
    <mergeCell ref="B13:C13"/>
    <mergeCell ref="E13:F13"/>
    <mergeCell ref="G13:H13"/>
    <mergeCell ref="I13:J13"/>
    <mergeCell ref="A14:A18"/>
    <mergeCell ref="B14:C18"/>
    <mergeCell ref="D18:K18"/>
  </mergeCells>
  <phoneticPr fontId="77"/>
  <conditionalFormatting sqref="L65:L68">
    <cfRule type="expression" dxfId="5" priority="2">
      <formula>$P$67="2"</formula>
    </cfRule>
    <cfRule type="expression" dxfId="4" priority="3">
      <formula>$P$67="3"</formula>
    </cfRule>
  </conditionalFormatting>
  <dataValidations count="1">
    <dataValidation type="list" allowBlank="1" showInputMessage="1" showErrorMessage="1" sqref="M14:N17 M19:N25 M27:N30 M32:N35 M37:N40 M42:N45 M47:N50 M52:N56 M58:N61 M86:N89 M91:N93 M95:N97 M99:N101 M103:N105 M107:N109 M111:N113 M115:N118 M120:N123 M127:N129" xr:uid="{00000000-0002-0000-0900-000000000000}">
      <formula1>"○"</formula1>
      <formula2>0</formula2>
    </dataValidation>
  </dataValidations>
  <pageMargins left="0.51180555555555596" right="0.51180555555555596" top="0.55138888888888904" bottom="0.55138888888888904" header="0.511811023622047" footer="0.511811023622047"/>
  <pageSetup paperSize="9" fitToHeight="0" orientation="portrait" horizontalDpi="300" verticalDpi="300"/>
  <rowBreaks count="1" manualBreakCount="1">
    <brk id="57"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pageSetUpPr fitToPage="1"/>
  </sheetPr>
  <dimension ref="A1:Y131"/>
  <sheetViews>
    <sheetView zoomScale="98" zoomScaleNormal="98" workbookViewId="0">
      <selection activeCell="K32" sqref="K32"/>
    </sheetView>
  </sheetViews>
  <sheetFormatPr defaultColWidth="9" defaultRowHeight="13"/>
  <cols>
    <col min="1" max="1" width="7.5" style="151" customWidth="1"/>
    <col min="2" max="2" width="3.6640625" style="151" customWidth="1"/>
    <col min="3" max="3" width="5.6640625" style="151" customWidth="1"/>
    <col min="4" max="4" width="27.4140625" style="184" customWidth="1"/>
    <col min="5" max="5" width="5.4140625" style="185" customWidth="1"/>
    <col min="6" max="6" width="5.9140625" style="186" customWidth="1"/>
    <col min="7" max="7" width="6.1640625" style="185" customWidth="1"/>
    <col min="8" max="8" width="6.6640625" style="186" customWidth="1"/>
    <col min="9" max="9" width="5.6640625" style="185" customWidth="1"/>
    <col min="10" max="10" width="5.6640625" style="186" customWidth="1"/>
    <col min="11" max="12" width="12.5" style="152" customWidth="1"/>
    <col min="13" max="13" width="5.6640625" style="187" customWidth="1"/>
    <col min="14" max="14" width="7.5" style="187" customWidth="1"/>
    <col min="15" max="15" width="7.4140625" style="151" customWidth="1"/>
    <col min="16" max="16" width="10.6640625" style="151" customWidth="1"/>
    <col min="17" max="17" width="9" style="151"/>
    <col min="18" max="18" width="3.6640625" style="151" customWidth="1"/>
    <col min="19" max="19" width="5.1640625" style="151" customWidth="1"/>
    <col min="20" max="20" width="9" style="151"/>
    <col min="21" max="21" width="3.9140625" style="151" customWidth="1"/>
    <col min="22" max="22" width="5.1640625" style="151" customWidth="1"/>
    <col min="23" max="23" width="9" style="151"/>
    <col min="24" max="24" width="13.1640625" style="151" customWidth="1"/>
    <col min="25" max="16384" width="9" style="151"/>
  </cols>
  <sheetData>
    <row r="1" spans="1:16" ht="22.5" customHeight="1">
      <c r="A1" s="174"/>
      <c r="G1" s="151"/>
      <c r="H1" s="151"/>
      <c r="I1" s="151"/>
      <c r="J1" s="151"/>
      <c r="K1" s="151"/>
      <c r="L1" s="151"/>
      <c r="M1" s="151"/>
      <c r="N1" s="151"/>
    </row>
    <row r="2" spans="1:16" ht="15" customHeight="1">
      <c r="A2" s="153" t="s">
        <v>446</v>
      </c>
      <c r="G2" s="151"/>
      <c r="H2" s="151"/>
      <c r="I2" s="151"/>
      <c r="J2" s="151"/>
      <c r="K2" s="151"/>
      <c r="L2" s="151"/>
      <c r="M2" s="151"/>
      <c r="N2" s="151"/>
    </row>
    <row r="3" spans="1:16" ht="15" customHeight="1">
      <c r="A3" s="153"/>
      <c r="G3" s="151"/>
      <c r="H3" s="151"/>
      <c r="I3" s="151"/>
      <c r="J3" s="151"/>
      <c r="K3" s="151"/>
      <c r="L3" s="151"/>
      <c r="M3" s="151"/>
      <c r="N3" s="151"/>
    </row>
    <row r="4" spans="1:16" s="154" customFormat="1" ht="15.75" customHeight="1">
      <c r="A4" s="157" t="s">
        <v>373</v>
      </c>
      <c r="B4" s="154" t="s">
        <v>447</v>
      </c>
      <c r="D4" s="159"/>
      <c r="F4" s="188"/>
      <c r="H4" s="188"/>
      <c r="K4" s="157"/>
      <c r="L4" s="155"/>
      <c r="M4" s="189"/>
      <c r="N4" s="189"/>
      <c r="O4" s="156"/>
      <c r="P4" s="157"/>
    </row>
    <row r="5" spans="1:16" s="154" customFormat="1" ht="15.75" customHeight="1">
      <c r="A5" s="157" t="s">
        <v>373</v>
      </c>
      <c r="B5" s="154" t="s">
        <v>375</v>
      </c>
      <c r="D5" s="159"/>
      <c r="F5" s="188"/>
      <c r="H5" s="188"/>
      <c r="K5" s="157"/>
      <c r="L5" s="155"/>
      <c r="M5" s="189"/>
      <c r="N5" s="189"/>
      <c r="O5" s="156"/>
      <c r="P5" s="157"/>
    </row>
    <row r="6" spans="1:16" s="154" customFormat="1" ht="15.75" customHeight="1">
      <c r="A6" s="157" t="s">
        <v>373</v>
      </c>
      <c r="B6" s="190"/>
      <c r="C6" s="154" t="s">
        <v>376</v>
      </c>
      <c r="D6" s="159"/>
      <c r="F6" s="188"/>
      <c r="H6" s="188"/>
      <c r="J6" s="188"/>
      <c r="L6" s="156"/>
      <c r="M6" s="191"/>
      <c r="N6" s="191"/>
      <c r="O6" s="156"/>
      <c r="P6" s="157"/>
    </row>
    <row r="7" spans="1:16" s="154" customFormat="1" ht="15.75" customHeight="1">
      <c r="A7" s="157" t="s">
        <v>373</v>
      </c>
      <c r="B7" s="154" t="s">
        <v>377</v>
      </c>
      <c r="C7" s="159"/>
      <c r="E7" s="188"/>
      <c r="G7" s="188"/>
      <c r="I7" s="188"/>
      <c r="J7" s="156"/>
      <c r="K7" s="156"/>
      <c r="M7" s="188"/>
      <c r="N7" s="188"/>
    </row>
    <row r="8" spans="1:16" s="154" customFormat="1" ht="15.75" customHeight="1">
      <c r="A8" s="157" t="s">
        <v>373</v>
      </c>
      <c r="B8" s="154" t="s">
        <v>378</v>
      </c>
      <c r="C8" s="159"/>
      <c r="E8" s="188"/>
      <c r="G8" s="188"/>
      <c r="I8" s="188"/>
      <c r="J8" s="156"/>
      <c r="K8" s="156"/>
      <c r="M8" s="188"/>
      <c r="N8" s="188"/>
    </row>
    <row r="9" spans="1:16" s="154" customFormat="1" ht="15.75" customHeight="1">
      <c r="A9" s="157" t="s">
        <v>373</v>
      </c>
      <c r="B9" s="154" t="s">
        <v>379</v>
      </c>
      <c r="C9" s="159"/>
      <c r="E9" s="188"/>
      <c r="G9" s="188"/>
      <c r="I9" s="188"/>
      <c r="J9" s="156"/>
      <c r="K9" s="156"/>
      <c r="M9" s="188"/>
      <c r="N9" s="188"/>
    </row>
    <row r="10" spans="1:16" s="154" customFormat="1" ht="15.75" customHeight="1">
      <c r="A10" s="157" t="s">
        <v>373</v>
      </c>
      <c r="B10" s="154" t="s">
        <v>380</v>
      </c>
      <c r="C10" s="159"/>
      <c r="E10" s="188"/>
      <c r="G10" s="188"/>
      <c r="I10" s="188"/>
      <c r="J10" s="156"/>
      <c r="K10" s="156"/>
      <c r="M10" s="188"/>
      <c r="N10" s="188"/>
    </row>
    <row r="11" spans="1:16" s="154" customFormat="1" ht="15.75" customHeight="1">
      <c r="A11" s="157" t="s">
        <v>373</v>
      </c>
      <c r="B11" s="154" t="s">
        <v>381</v>
      </c>
      <c r="C11" s="159"/>
      <c r="E11" s="188"/>
      <c r="G11" s="188"/>
      <c r="I11" s="188"/>
      <c r="J11" s="156"/>
      <c r="K11" s="156"/>
      <c r="M11" s="188"/>
      <c r="N11" s="188"/>
    </row>
    <row r="12" spans="1:16" ht="15" customHeight="1">
      <c r="L12" s="164"/>
      <c r="M12" s="164"/>
      <c r="N12" s="192" t="s">
        <v>382</v>
      </c>
    </row>
    <row r="13" spans="1:16" s="168" customFormat="1" ht="30" customHeight="1">
      <c r="A13" s="165" t="s">
        <v>347</v>
      </c>
      <c r="B13" s="573" t="s">
        <v>245</v>
      </c>
      <c r="C13" s="573"/>
      <c r="D13" s="193" t="s">
        <v>383</v>
      </c>
      <c r="E13" s="574" t="s">
        <v>384</v>
      </c>
      <c r="F13" s="574"/>
      <c r="G13" s="573" t="s">
        <v>384</v>
      </c>
      <c r="H13" s="573"/>
      <c r="I13" s="573" t="s">
        <v>384</v>
      </c>
      <c r="J13" s="573"/>
      <c r="K13" s="194" t="s">
        <v>385</v>
      </c>
      <c r="L13" s="195" t="s">
        <v>386</v>
      </c>
      <c r="M13" s="196" t="s">
        <v>387</v>
      </c>
      <c r="N13" s="167" t="s">
        <v>388</v>
      </c>
    </row>
    <row r="14" spans="1:16" ht="18.75" customHeight="1">
      <c r="A14" s="575" t="s">
        <v>349</v>
      </c>
      <c r="B14" s="576" t="s">
        <v>350</v>
      </c>
      <c r="C14" s="576"/>
      <c r="D14" s="197" t="s">
        <v>389</v>
      </c>
      <c r="E14" s="198">
        <v>1</v>
      </c>
      <c r="F14" s="199" t="s">
        <v>390</v>
      </c>
      <c r="G14" s="200">
        <v>12</v>
      </c>
      <c r="H14" s="201" t="s">
        <v>391</v>
      </c>
      <c r="I14" s="202">
        <v>1</v>
      </c>
      <c r="J14" s="201" t="s">
        <v>392</v>
      </c>
      <c r="K14" s="203">
        <v>750000</v>
      </c>
      <c r="L14" s="204">
        <f>IF(ISNUMBER(K14),(ROUNDDOWN(PRODUCT(E14,G14,I14,K14)/1000,0)),"")</f>
        <v>9000</v>
      </c>
      <c r="M14" s="205"/>
      <c r="N14" s="206" t="s">
        <v>393</v>
      </c>
    </row>
    <row r="15" spans="1:16" ht="18.75" customHeight="1">
      <c r="A15" s="575"/>
      <c r="B15" s="576"/>
      <c r="C15" s="576"/>
      <c r="D15" s="207" t="s">
        <v>394</v>
      </c>
      <c r="E15" s="208">
        <v>1</v>
      </c>
      <c r="F15" s="209" t="s">
        <v>390</v>
      </c>
      <c r="G15" s="210">
        <v>12</v>
      </c>
      <c r="H15" s="211" t="s">
        <v>391</v>
      </c>
      <c r="I15" s="212">
        <v>1</v>
      </c>
      <c r="J15" s="211" t="s">
        <v>392</v>
      </c>
      <c r="K15" s="213">
        <v>500000</v>
      </c>
      <c r="L15" s="214">
        <f>IF(ISNUMBER(K15),(ROUNDDOWN(PRODUCT(E15,G15,I15,K15)/1000,0)),"")</f>
        <v>6000</v>
      </c>
      <c r="M15" s="215"/>
      <c r="N15" s="216" t="s">
        <v>393</v>
      </c>
    </row>
    <row r="16" spans="1:16" ht="18.75" customHeight="1">
      <c r="A16" s="575"/>
      <c r="B16" s="576"/>
      <c r="C16" s="576"/>
      <c r="D16" s="207" t="s">
        <v>395</v>
      </c>
      <c r="E16" s="208">
        <v>2</v>
      </c>
      <c r="F16" s="209" t="s">
        <v>390</v>
      </c>
      <c r="G16" s="210">
        <v>12</v>
      </c>
      <c r="H16" s="211" t="s">
        <v>391</v>
      </c>
      <c r="I16" s="212">
        <v>1</v>
      </c>
      <c r="J16" s="211" t="s">
        <v>392</v>
      </c>
      <c r="K16" s="213">
        <v>208333</v>
      </c>
      <c r="L16" s="214">
        <f>IF(ISNUMBER(K16),(ROUNDDOWN(PRODUCT(E16,G16,I16,K16)/1000,0)),"")</f>
        <v>4999</v>
      </c>
      <c r="M16" s="215"/>
      <c r="N16" s="216" t="s">
        <v>393</v>
      </c>
    </row>
    <row r="17" spans="1:23" ht="18.75" customHeight="1">
      <c r="A17" s="575"/>
      <c r="B17" s="576"/>
      <c r="C17" s="576"/>
      <c r="D17" s="217"/>
      <c r="E17" s="218"/>
      <c r="F17" s="219"/>
      <c r="G17" s="220"/>
      <c r="H17" s="221"/>
      <c r="I17" s="220"/>
      <c r="J17" s="221"/>
      <c r="K17" s="222"/>
      <c r="L17" s="223" t="str">
        <f>IF(ISNUMBER(K17),(ROUNDDOWN(PRODUCT(E17,G17,I17,K17)/1000,0)),"")</f>
        <v/>
      </c>
      <c r="M17" s="224"/>
      <c r="N17" s="225"/>
    </row>
    <row r="18" spans="1:23" ht="18.75" customHeight="1">
      <c r="A18" s="575"/>
      <c r="B18" s="576"/>
      <c r="C18" s="576"/>
      <c r="D18" s="577" t="s">
        <v>396</v>
      </c>
      <c r="E18" s="577"/>
      <c r="F18" s="577"/>
      <c r="G18" s="577"/>
      <c r="H18" s="577"/>
      <c r="I18" s="577"/>
      <c r="J18" s="577"/>
      <c r="K18" s="577"/>
      <c r="L18" s="226">
        <f>SUM(L14:L17)</f>
        <v>19999</v>
      </c>
      <c r="M18" s="578"/>
      <c r="N18" s="578"/>
      <c r="P18" s="192" t="s">
        <v>397</v>
      </c>
      <c r="Q18" s="227">
        <f>SUMIF(N14:N17,"○",L14:L17)</f>
        <v>19999</v>
      </c>
      <c r="R18" s="228"/>
      <c r="S18" s="192" t="s">
        <v>398</v>
      </c>
      <c r="T18" s="227">
        <f>SUMIF(M14:M17,"○",L14:L17)</f>
        <v>0</v>
      </c>
      <c r="U18" s="228"/>
      <c r="V18" s="192" t="s">
        <v>399</v>
      </c>
      <c r="W18" s="227">
        <f>$L$18-$Q$18-$T$18</f>
        <v>0</v>
      </c>
    </row>
    <row r="19" spans="1:23" ht="18.75" customHeight="1">
      <c r="A19" s="572" t="s">
        <v>351</v>
      </c>
      <c r="B19" s="576" t="s">
        <v>352</v>
      </c>
      <c r="C19" s="576"/>
      <c r="D19" s="197" t="s">
        <v>400</v>
      </c>
      <c r="E19" s="198">
        <v>5</v>
      </c>
      <c r="F19" s="199" t="s">
        <v>401</v>
      </c>
      <c r="G19" s="202">
        <v>1</v>
      </c>
      <c r="H19" s="201" t="s">
        <v>390</v>
      </c>
      <c r="I19" s="202">
        <v>1</v>
      </c>
      <c r="J19" s="201" t="s">
        <v>402</v>
      </c>
      <c r="K19" s="203">
        <v>100000</v>
      </c>
      <c r="L19" s="204">
        <f t="shared" ref="L19:L25" si="0">IF(ISNUMBER(K19),(ROUNDDOWN(PRODUCT(E19,G19,I19,K19)/1000,0)),"")</f>
        <v>500</v>
      </c>
      <c r="M19" s="205"/>
      <c r="N19" s="206" t="s">
        <v>393</v>
      </c>
    </row>
    <row r="20" spans="1:23" ht="18.75" customHeight="1">
      <c r="A20" s="572"/>
      <c r="B20" s="576"/>
      <c r="C20" s="576"/>
      <c r="D20" s="207" t="s">
        <v>403</v>
      </c>
      <c r="E20" s="208">
        <v>2</v>
      </c>
      <c r="F20" s="209" t="s">
        <v>390</v>
      </c>
      <c r="G20" s="212">
        <v>1</v>
      </c>
      <c r="H20" s="211" t="s">
        <v>401</v>
      </c>
      <c r="I20" s="212">
        <v>1</v>
      </c>
      <c r="J20" s="211" t="s">
        <v>402</v>
      </c>
      <c r="K20" s="213">
        <v>300000</v>
      </c>
      <c r="L20" s="214">
        <f t="shared" si="0"/>
        <v>600</v>
      </c>
      <c r="M20" s="215"/>
      <c r="N20" s="216" t="s">
        <v>393</v>
      </c>
    </row>
    <row r="21" spans="1:23" ht="18.75" customHeight="1">
      <c r="A21" s="572"/>
      <c r="B21" s="576"/>
      <c r="C21" s="576"/>
      <c r="D21" s="207" t="s">
        <v>404</v>
      </c>
      <c r="E21" s="208">
        <v>6</v>
      </c>
      <c r="F21" s="209" t="s">
        <v>401</v>
      </c>
      <c r="G21" s="212">
        <v>1</v>
      </c>
      <c r="H21" s="211" t="s">
        <v>390</v>
      </c>
      <c r="I21" s="212">
        <v>1</v>
      </c>
      <c r="J21" s="211" t="s">
        <v>402</v>
      </c>
      <c r="K21" s="213">
        <v>95000</v>
      </c>
      <c r="L21" s="214">
        <f t="shared" si="0"/>
        <v>570</v>
      </c>
      <c r="M21" s="215"/>
      <c r="N21" s="216" t="s">
        <v>393</v>
      </c>
    </row>
    <row r="22" spans="1:23" ht="18.75" customHeight="1">
      <c r="A22" s="572"/>
      <c r="B22" s="576"/>
      <c r="C22" s="576"/>
      <c r="D22" s="229" t="s">
        <v>448</v>
      </c>
      <c r="E22" s="230">
        <v>20</v>
      </c>
      <c r="F22" s="231" t="s">
        <v>401</v>
      </c>
      <c r="G22" s="232">
        <v>1</v>
      </c>
      <c r="H22" s="233" t="s">
        <v>410</v>
      </c>
      <c r="I22" s="232">
        <v>1</v>
      </c>
      <c r="J22" s="233" t="s">
        <v>410</v>
      </c>
      <c r="K22" s="234">
        <v>25000</v>
      </c>
      <c r="L22" s="214">
        <f t="shared" si="0"/>
        <v>500</v>
      </c>
      <c r="M22" s="238"/>
      <c r="N22" s="239"/>
    </row>
    <row r="23" spans="1:23" ht="18.75" customHeight="1">
      <c r="A23" s="572"/>
      <c r="B23" s="576"/>
      <c r="C23" s="576"/>
      <c r="D23" s="250" t="s">
        <v>449</v>
      </c>
      <c r="E23" s="251">
        <v>20</v>
      </c>
      <c r="F23" s="252" t="s">
        <v>401</v>
      </c>
      <c r="G23" s="253">
        <v>1</v>
      </c>
      <c r="H23" s="254" t="s">
        <v>410</v>
      </c>
      <c r="I23" s="253">
        <v>1</v>
      </c>
      <c r="J23" s="254" t="s">
        <v>410</v>
      </c>
      <c r="K23" s="342">
        <v>25000</v>
      </c>
      <c r="L23" s="214">
        <f t="shared" si="0"/>
        <v>500</v>
      </c>
      <c r="M23" s="246"/>
      <c r="N23" s="257"/>
    </row>
    <row r="24" spans="1:23" ht="18.75" customHeight="1">
      <c r="A24" s="572"/>
      <c r="B24" s="576"/>
      <c r="C24" s="576"/>
      <c r="D24" s="250" t="s">
        <v>450</v>
      </c>
      <c r="E24" s="251">
        <v>20</v>
      </c>
      <c r="F24" s="252" t="s">
        <v>401</v>
      </c>
      <c r="G24" s="253">
        <v>1</v>
      </c>
      <c r="H24" s="254" t="s">
        <v>410</v>
      </c>
      <c r="I24" s="253">
        <v>1</v>
      </c>
      <c r="J24" s="254" t="s">
        <v>410</v>
      </c>
      <c r="K24" s="342">
        <v>25000</v>
      </c>
      <c r="L24" s="214">
        <f t="shared" si="0"/>
        <v>500</v>
      </c>
      <c r="M24" s="246"/>
      <c r="N24" s="257"/>
    </row>
    <row r="25" spans="1:23" ht="18.75" customHeight="1">
      <c r="A25" s="572"/>
      <c r="B25" s="576"/>
      <c r="C25" s="576"/>
      <c r="D25" s="250" t="s">
        <v>451</v>
      </c>
      <c r="E25" s="251">
        <v>5</v>
      </c>
      <c r="F25" s="252" t="s">
        <v>401</v>
      </c>
      <c r="G25" s="253">
        <v>1</v>
      </c>
      <c r="H25" s="254" t="s">
        <v>410</v>
      </c>
      <c r="I25" s="253">
        <v>1</v>
      </c>
      <c r="J25" s="254" t="s">
        <v>410</v>
      </c>
      <c r="K25" s="342">
        <v>50000</v>
      </c>
      <c r="L25" s="223">
        <f t="shared" si="0"/>
        <v>250</v>
      </c>
      <c r="M25" s="246"/>
      <c r="N25" s="257"/>
    </row>
    <row r="26" spans="1:23" ht="18.75" customHeight="1">
      <c r="A26" s="572"/>
      <c r="B26" s="576"/>
      <c r="C26" s="576"/>
      <c r="D26" s="577" t="s">
        <v>396</v>
      </c>
      <c r="E26" s="577"/>
      <c r="F26" s="577"/>
      <c r="G26" s="577"/>
      <c r="H26" s="577"/>
      <c r="I26" s="577"/>
      <c r="J26" s="577"/>
      <c r="K26" s="577"/>
      <c r="L26" s="172">
        <f>SUM(L19:L25)</f>
        <v>3420</v>
      </c>
      <c r="M26" s="578"/>
      <c r="N26" s="578"/>
      <c r="P26" s="192" t="s">
        <v>397</v>
      </c>
      <c r="Q26" s="227">
        <f>SUMIF(N19:N22,"○",L19:L22)</f>
        <v>1670</v>
      </c>
      <c r="R26" s="228"/>
      <c r="S26" s="192" t="s">
        <v>398</v>
      </c>
      <c r="T26" s="227">
        <f>SUMIF(M19:M22,"○",L19:L22)</f>
        <v>0</v>
      </c>
      <c r="U26" s="228"/>
      <c r="V26" s="192" t="s">
        <v>399</v>
      </c>
      <c r="W26" s="227">
        <f>$L$26-$Q$26-$T$26</f>
        <v>1750</v>
      </c>
    </row>
    <row r="27" spans="1:23" ht="18.75" customHeight="1">
      <c r="A27" s="572"/>
      <c r="B27" s="576" t="s">
        <v>353</v>
      </c>
      <c r="C27" s="576"/>
      <c r="D27" s="197" t="s">
        <v>409</v>
      </c>
      <c r="E27" s="198">
        <v>4</v>
      </c>
      <c r="F27" s="199" t="s">
        <v>401</v>
      </c>
      <c r="G27" s="202">
        <v>1</v>
      </c>
      <c r="H27" s="201" t="s">
        <v>390</v>
      </c>
      <c r="I27" s="202">
        <v>1</v>
      </c>
      <c r="J27" s="201" t="s">
        <v>410</v>
      </c>
      <c r="K27" s="203">
        <v>200000</v>
      </c>
      <c r="L27" s="204">
        <f>IF(ISNUMBER(K27),(ROUNDDOWN(PRODUCT(E27,G27,I27,K27)/1000,0)),"")</f>
        <v>800</v>
      </c>
      <c r="M27" s="205"/>
      <c r="N27" s="206"/>
    </row>
    <row r="28" spans="1:23" ht="18.75" customHeight="1">
      <c r="A28" s="572"/>
      <c r="B28" s="576"/>
      <c r="C28" s="576"/>
      <c r="D28" s="240"/>
      <c r="E28" s="208"/>
      <c r="F28" s="209"/>
      <c r="G28" s="212"/>
      <c r="H28" s="211"/>
      <c r="I28" s="212"/>
      <c r="J28" s="211"/>
      <c r="K28" s="213"/>
      <c r="L28" s="214" t="str">
        <f>IF(ISNUMBER(K28),(ROUNDDOWN(PRODUCT(E28,G28,I28,K28)/1000,0)),"")</f>
        <v/>
      </c>
      <c r="M28" s="215"/>
      <c r="N28" s="216"/>
    </row>
    <row r="29" spans="1:23" ht="18.75" customHeight="1">
      <c r="A29" s="572"/>
      <c r="B29" s="576"/>
      <c r="C29" s="576"/>
      <c r="D29" s="244" t="s">
        <v>452</v>
      </c>
      <c r="E29" s="208">
        <v>1</v>
      </c>
      <c r="F29" s="209" t="s">
        <v>390</v>
      </c>
      <c r="G29" s="212">
        <v>1</v>
      </c>
      <c r="H29" s="211" t="s">
        <v>410</v>
      </c>
      <c r="I29" s="212">
        <v>1</v>
      </c>
      <c r="J29" s="211" t="s">
        <v>410</v>
      </c>
      <c r="K29" s="213">
        <v>600000</v>
      </c>
      <c r="L29" s="214">
        <f>IF(ISNUMBER(K29),(ROUNDDOWN(PRODUCT(E29,G29,I29,K29)/1000,0)),"")</f>
        <v>600</v>
      </c>
      <c r="M29" s="215"/>
      <c r="N29" s="216"/>
    </row>
    <row r="30" spans="1:23" ht="18.75" customHeight="1">
      <c r="A30" s="572"/>
      <c r="B30" s="576"/>
      <c r="C30" s="576"/>
      <c r="D30" s="244" t="s">
        <v>453</v>
      </c>
      <c r="E30" s="208">
        <v>1</v>
      </c>
      <c r="F30" s="209" t="s">
        <v>390</v>
      </c>
      <c r="G30" s="212">
        <v>1</v>
      </c>
      <c r="H30" s="211" t="s">
        <v>410</v>
      </c>
      <c r="I30" s="212">
        <v>1</v>
      </c>
      <c r="J30" s="211" t="s">
        <v>410</v>
      </c>
      <c r="K30" s="213">
        <v>600000</v>
      </c>
      <c r="L30" s="223">
        <f>IF(ISNUMBER(K30),(ROUNDDOWN(PRODUCT(E30,G30,I30,K30)/1000,0)),"")</f>
        <v>600</v>
      </c>
      <c r="M30" s="215"/>
      <c r="N30" s="216"/>
    </row>
    <row r="31" spans="1:23" ht="18.75" customHeight="1">
      <c r="A31" s="572"/>
      <c r="B31" s="576"/>
      <c r="C31" s="576"/>
      <c r="D31" s="577" t="s">
        <v>396</v>
      </c>
      <c r="E31" s="577"/>
      <c r="F31" s="577"/>
      <c r="G31" s="577"/>
      <c r="H31" s="577"/>
      <c r="I31" s="577"/>
      <c r="J31" s="577"/>
      <c r="K31" s="577"/>
      <c r="L31" s="241">
        <f>SUM(L27:L30)</f>
        <v>2000</v>
      </c>
      <c r="M31" s="578"/>
      <c r="N31" s="578"/>
      <c r="P31" s="192" t="s">
        <v>397</v>
      </c>
      <c r="Q31" s="227">
        <f>SUMIF(N27:N30,"○",L27:L30)</f>
        <v>0</v>
      </c>
      <c r="R31" s="228"/>
      <c r="S31" s="192" t="s">
        <v>398</v>
      </c>
      <c r="T31" s="227">
        <f>SUMIF(M27:M30,"○",L27:L30)</f>
        <v>0</v>
      </c>
      <c r="U31" s="228"/>
      <c r="V31" s="192" t="s">
        <v>399</v>
      </c>
      <c r="W31" s="227">
        <f>$L$31-$Q$31-$T$31</f>
        <v>2000</v>
      </c>
    </row>
    <row r="32" spans="1:23" ht="18.75" customHeight="1">
      <c r="A32" s="572"/>
      <c r="B32" s="576" t="s">
        <v>354</v>
      </c>
      <c r="C32" s="576"/>
      <c r="D32" s="242" t="s">
        <v>413</v>
      </c>
      <c r="E32" s="198">
        <v>200</v>
      </c>
      <c r="F32" s="199" t="s">
        <v>390</v>
      </c>
      <c r="G32" s="202">
        <v>12</v>
      </c>
      <c r="H32" s="201" t="s">
        <v>391</v>
      </c>
      <c r="I32" s="343">
        <v>1</v>
      </c>
      <c r="J32" s="344" t="s">
        <v>392</v>
      </c>
      <c r="K32" s="243">
        <v>8500</v>
      </c>
      <c r="L32" s="248">
        <f>IF(ISNUMBER(K32),(ROUNDDOWN(PRODUCT(E32,G32,I32,K32)/1000,0)),"")</f>
        <v>20400</v>
      </c>
      <c r="M32" s="205"/>
      <c r="N32" s="206"/>
    </row>
    <row r="33" spans="1:23" ht="18.75" customHeight="1">
      <c r="A33" s="572"/>
      <c r="B33" s="576"/>
      <c r="C33" s="576"/>
      <c r="D33" s="244" t="s">
        <v>414</v>
      </c>
      <c r="E33" s="208">
        <v>120</v>
      </c>
      <c r="F33" s="209" t="s">
        <v>390</v>
      </c>
      <c r="G33" s="212">
        <v>12</v>
      </c>
      <c r="H33" s="211" t="s">
        <v>391</v>
      </c>
      <c r="I33" s="345">
        <v>1</v>
      </c>
      <c r="J33" s="346" t="s">
        <v>392</v>
      </c>
      <c r="K33" s="245">
        <v>8500</v>
      </c>
      <c r="L33" s="249">
        <f>IF(ISNUMBER(K33),(ROUNDDOWN(PRODUCT(E33,G33,I33,K33)/1000,0)),"")</f>
        <v>12240</v>
      </c>
      <c r="M33" s="215"/>
      <c r="N33" s="216"/>
    </row>
    <row r="34" spans="1:23" ht="18.75" customHeight="1">
      <c r="A34" s="572"/>
      <c r="B34" s="576"/>
      <c r="C34" s="576"/>
      <c r="D34" s="244" t="s">
        <v>415</v>
      </c>
      <c r="E34" s="208">
        <v>20</v>
      </c>
      <c r="F34" s="209" t="s">
        <v>390</v>
      </c>
      <c r="G34" s="212">
        <v>12</v>
      </c>
      <c r="H34" s="211" t="s">
        <v>391</v>
      </c>
      <c r="I34" s="347">
        <v>1</v>
      </c>
      <c r="J34" s="348" t="s">
        <v>392</v>
      </c>
      <c r="K34" s="245">
        <v>8500</v>
      </c>
      <c r="L34" s="349">
        <f>IF(ISNUMBER(K34),(ROUNDDOWN(PRODUCT(E34,G34,I34,K34)/1000,0)),"")</f>
        <v>2040</v>
      </c>
      <c r="M34" s="215"/>
      <c r="N34" s="216"/>
    </row>
    <row r="35" spans="1:23" ht="18.75" customHeight="1">
      <c r="A35" s="572"/>
      <c r="B35" s="576"/>
      <c r="C35" s="576"/>
      <c r="D35" s="229"/>
      <c r="E35" s="230"/>
      <c r="F35" s="231" t="s">
        <v>410</v>
      </c>
      <c r="G35" s="232"/>
      <c r="H35" s="233" t="s">
        <v>391</v>
      </c>
      <c r="I35" s="232"/>
      <c r="J35" s="233" t="s">
        <v>392</v>
      </c>
      <c r="K35" s="234"/>
      <c r="L35" s="223" t="str">
        <f>IF(ISNUMBER(K35),(ROUNDDOWN(PRODUCT(E35,G35,I35,K35)/1000,0)),"")</f>
        <v/>
      </c>
      <c r="M35" s="236"/>
      <c r="N35" s="237"/>
    </row>
    <row r="36" spans="1:23" ht="18.75" customHeight="1">
      <c r="A36" s="572"/>
      <c r="B36" s="576"/>
      <c r="C36" s="576"/>
      <c r="D36" s="577" t="s">
        <v>396</v>
      </c>
      <c r="E36" s="577"/>
      <c r="F36" s="577"/>
      <c r="G36" s="577"/>
      <c r="H36" s="577"/>
      <c r="I36" s="577"/>
      <c r="J36" s="577"/>
      <c r="K36" s="577"/>
      <c r="L36" s="241">
        <f>SUM(L32:L35)</f>
        <v>34680</v>
      </c>
      <c r="M36" s="578"/>
      <c r="N36" s="578"/>
      <c r="P36" s="192" t="s">
        <v>397</v>
      </c>
      <c r="Q36" s="227">
        <f>SUMIF(N32:N35,"○",L32:L35)</f>
        <v>0</v>
      </c>
      <c r="R36" s="228"/>
      <c r="S36" s="192" t="s">
        <v>398</v>
      </c>
      <c r="T36" s="227">
        <f>SUMIF(M32:M35,"○",L32:L35)</f>
        <v>0</v>
      </c>
      <c r="U36" s="228"/>
      <c r="V36" s="192" t="s">
        <v>399</v>
      </c>
      <c r="W36" s="227">
        <f>$L$36-$Q$36-$T$36</f>
        <v>34680</v>
      </c>
    </row>
    <row r="37" spans="1:23" ht="18.75" customHeight="1">
      <c r="A37" s="572"/>
      <c r="B37" s="576" t="s">
        <v>355</v>
      </c>
      <c r="C37" s="576"/>
      <c r="D37" s="242" t="s">
        <v>416</v>
      </c>
      <c r="E37" s="198">
        <v>30</v>
      </c>
      <c r="F37" s="201" t="s">
        <v>417</v>
      </c>
      <c r="G37" s="202">
        <v>1</v>
      </c>
      <c r="H37" s="201" t="s">
        <v>410</v>
      </c>
      <c r="I37" s="202">
        <v>1</v>
      </c>
      <c r="J37" s="201" t="s">
        <v>392</v>
      </c>
      <c r="K37" s="203">
        <v>10000</v>
      </c>
      <c r="L37" s="204">
        <f>IF(ISNUMBER(K37),(ROUNDDOWN(PRODUCT(E37,G37,I37,K37)/1000,0)),"")</f>
        <v>300</v>
      </c>
      <c r="M37" s="205"/>
      <c r="N37" s="206"/>
    </row>
    <row r="38" spans="1:23" ht="18.75" customHeight="1">
      <c r="A38" s="572"/>
      <c r="B38" s="576"/>
      <c r="C38" s="576"/>
      <c r="D38" s="207" t="s">
        <v>418</v>
      </c>
      <c r="E38" s="208">
        <v>1</v>
      </c>
      <c r="F38" s="209" t="s">
        <v>410</v>
      </c>
      <c r="G38" s="212">
        <v>1</v>
      </c>
      <c r="H38" s="211" t="s">
        <v>410</v>
      </c>
      <c r="I38" s="212">
        <v>1</v>
      </c>
      <c r="J38" s="211" t="s">
        <v>392</v>
      </c>
      <c r="K38" s="213">
        <v>150000</v>
      </c>
      <c r="L38" s="214">
        <f>IF(ISNUMBER(K38),(ROUNDDOWN(PRODUCT(E38,G38,I38,K38)/1000,0)),"")</f>
        <v>150</v>
      </c>
      <c r="M38" s="215"/>
      <c r="N38" s="216"/>
    </row>
    <row r="39" spans="1:23" ht="18.75" customHeight="1">
      <c r="A39" s="572"/>
      <c r="B39" s="576"/>
      <c r="C39" s="576"/>
      <c r="D39" s="244"/>
      <c r="E39" s="208"/>
      <c r="F39" s="209"/>
      <c r="G39" s="212"/>
      <c r="H39" s="211"/>
      <c r="I39" s="212"/>
      <c r="J39" s="211"/>
      <c r="K39" s="213"/>
      <c r="L39" s="214" t="str">
        <f>IF(ISNUMBER(K39),(ROUNDDOWN(PRODUCT(E39,G39,I39,K39)/1000,0)),"")</f>
        <v/>
      </c>
      <c r="M39" s="215"/>
      <c r="N39" s="216"/>
    </row>
    <row r="40" spans="1:23" ht="18.75" customHeight="1">
      <c r="A40" s="572"/>
      <c r="B40" s="576"/>
      <c r="C40" s="576"/>
      <c r="D40" s="244"/>
      <c r="E40" s="208"/>
      <c r="F40" s="209"/>
      <c r="G40" s="212"/>
      <c r="H40" s="211"/>
      <c r="I40" s="212"/>
      <c r="J40" s="211"/>
      <c r="K40" s="213"/>
      <c r="L40" s="223" t="str">
        <f>IF(ISNUMBER(K40),(ROUNDDOWN(PRODUCT(E40,G40,I40,K40)/1000,0)),"")</f>
        <v/>
      </c>
      <c r="M40" s="215"/>
      <c r="N40" s="216"/>
    </row>
    <row r="41" spans="1:23" ht="18.75" customHeight="1">
      <c r="A41" s="572"/>
      <c r="B41" s="576"/>
      <c r="C41" s="576"/>
      <c r="D41" s="577" t="s">
        <v>396</v>
      </c>
      <c r="E41" s="577"/>
      <c r="F41" s="577"/>
      <c r="G41" s="577"/>
      <c r="H41" s="577"/>
      <c r="I41" s="577"/>
      <c r="J41" s="577"/>
      <c r="K41" s="577"/>
      <c r="L41" s="172">
        <f>SUM(L37:L40)</f>
        <v>450</v>
      </c>
      <c r="M41" s="578"/>
      <c r="N41" s="578"/>
      <c r="P41" s="192" t="s">
        <v>397</v>
      </c>
      <c r="Q41" s="227">
        <f>SUMIF(N37:N40,"○",L37:L40)</f>
        <v>0</v>
      </c>
      <c r="R41" s="228"/>
      <c r="S41" s="192" t="s">
        <v>398</v>
      </c>
      <c r="T41" s="227">
        <f>SUMIF(M37:M40,"○",L37:L40)</f>
        <v>0</v>
      </c>
      <c r="U41" s="228"/>
      <c r="V41" s="192" t="s">
        <v>399</v>
      </c>
      <c r="W41" s="227">
        <f>$L$41-$Q$41-$T$41</f>
        <v>450</v>
      </c>
    </row>
    <row r="42" spans="1:23" ht="18.75" customHeight="1">
      <c r="A42" s="572"/>
      <c r="B42" s="576" t="s">
        <v>356</v>
      </c>
      <c r="C42" s="576"/>
      <c r="D42" s="197" t="s">
        <v>419</v>
      </c>
      <c r="E42" s="185">
        <v>4</v>
      </c>
      <c r="F42" s="199" t="s">
        <v>401</v>
      </c>
      <c r="G42" s="202">
        <v>1</v>
      </c>
      <c r="H42" s="201" t="s">
        <v>402</v>
      </c>
      <c r="I42" s="202">
        <v>1</v>
      </c>
      <c r="J42" s="201" t="s">
        <v>410</v>
      </c>
      <c r="K42" s="203">
        <v>120000</v>
      </c>
      <c r="L42" s="204">
        <f>IF(ISNUMBER(K42),(ROUNDDOWN(PRODUCT(E42,G42,I42,K42)/1000,0)),"")</f>
        <v>480</v>
      </c>
      <c r="M42" s="205"/>
      <c r="N42" s="206"/>
    </row>
    <row r="43" spans="1:23" ht="18.75" customHeight="1">
      <c r="A43" s="572"/>
      <c r="B43" s="576"/>
      <c r="C43" s="576"/>
      <c r="D43" s="207" t="s">
        <v>420</v>
      </c>
      <c r="E43" s="208">
        <v>1</v>
      </c>
      <c r="F43" s="209" t="s">
        <v>410</v>
      </c>
      <c r="G43" s="212">
        <v>1</v>
      </c>
      <c r="H43" s="211" t="s">
        <v>401</v>
      </c>
      <c r="I43" s="212">
        <v>1</v>
      </c>
      <c r="J43" s="211" t="s">
        <v>410</v>
      </c>
      <c r="K43" s="213">
        <v>350000</v>
      </c>
      <c r="L43" s="214">
        <f>IF(ISNUMBER(K43),(ROUNDDOWN(PRODUCT(E43,G43,I43,K43)/1000,0)),"")</f>
        <v>350</v>
      </c>
      <c r="M43" s="215"/>
      <c r="N43" s="216"/>
    </row>
    <row r="44" spans="1:23" ht="18.75" customHeight="1">
      <c r="A44" s="572"/>
      <c r="B44" s="576"/>
      <c r="C44" s="576"/>
      <c r="D44" s="207" t="s">
        <v>421</v>
      </c>
      <c r="E44" s="208">
        <v>1</v>
      </c>
      <c r="F44" s="209" t="s">
        <v>401</v>
      </c>
      <c r="G44" s="212">
        <v>1</v>
      </c>
      <c r="H44" s="211" t="s">
        <v>410</v>
      </c>
      <c r="I44" s="212">
        <v>1</v>
      </c>
      <c r="J44" s="211" t="s">
        <v>410</v>
      </c>
      <c r="K44" s="213">
        <v>300000</v>
      </c>
      <c r="L44" s="214">
        <f>IF(ISNUMBER(K44),(ROUNDDOWN(PRODUCT(E44,G44,I44,K44)/1000,0)),"")</f>
        <v>300</v>
      </c>
      <c r="M44" s="215"/>
      <c r="N44" s="216"/>
    </row>
    <row r="45" spans="1:23" ht="18.75" customHeight="1">
      <c r="A45" s="572"/>
      <c r="B45" s="576"/>
      <c r="C45" s="576"/>
      <c r="D45" s="244"/>
      <c r="E45" s="208"/>
      <c r="F45" s="209"/>
      <c r="G45" s="212"/>
      <c r="H45" s="211"/>
      <c r="I45" s="212"/>
      <c r="J45" s="211"/>
      <c r="K45" s="213"/>
      <c r="L45" s="223" t="str">
        <f>IF(ISNUMBER(K45),(ROUNDDOWN(PRODUCT(E45,G45,I45,K45)/1000,0)),"")</f>
        <v/>
      </c>
      <c r="M45" s="215"/>
      <c r="N45" s="216"/>
    </row>
    <row r="46" spans="1:23" ht="18.75" customHeight="1">
      <c r="A46" s="572"/>
      <c r="B46" s="576"/>
      <c r="C46" s="576"/>
      <c r="D46" s="577" t="s">
        <v>396</v>
      </c>
      <c r="E46" s="577"/>
      <c r="F46" s="577"/>
      <c r="G46" s="577"/>
      <c r="H46" s="577"/>
      <c r="I46" s="577"/>
      <c r="J46" s="577"/>
      <c r="K46" s="577"/>
      <c r="L46" s="241">
        <f>SUM(L42:L45)</f>
        <v>1130</v>
      </c>
      <c r="M46" s="578"/>
      <c r="N46" s="578"/>
      <c r="P46" s="192" t="s">
        <v>397</v>
      </c>
      <c r="Q46" s="227">
        <f>SUMIF(N42:N45,"○",L42:L45)</f>
        <v>0</v>
      </c>
      <c r="R46" s="228"/>
      <c r="S46" s="192" t="s">
        <v>398</v>
      </c>
      <c r="T46" s="227">
        <f>SUMIF(M42:M45,"○",L42:L45)</f>
        <v>0</v>
      </c>
      <c r="U46" s="228"/>
      <c r="V46" s="192" t="s">
        <v>399</v>
      </c>
      <c r="W46" s="227">
        <f>$L$46-$Q$46-$T$46</f>
        <v>1130</v>
      </c>
    </row>
    <row r="47" spans="1:23" ht="18.75" customHeight="1">
      <c r="A47" s="572"/>
      <c r="B47" s="579" t="s">
        <v>357</v>
      </c>
      <c r="C47" s="579"/>
      <c r="D47" s="207" t="s">
        <v>422</v>
      </c>
      <c r="E47" s="208">
        <v>1</v>
      </c>
      <c r="F47" s="209" t="s">
        <v>410</v>
      </c>
      <c r="G47" s="212">
        <v>12</v>
      </c>
      <c r="H47" s="211" t="s">
        <v>391</v>
      </c>
      <c r="I47" s="212">
        <v>1</v>
      </c>
      <c r="J47" s="211" t="s">
        <v>392</v>
      </c>
      <c r="K47" s="213">
        <v>40000</v>
      </c>
      <c r="L47" s="204">
        <f>IF(ISNUMBER(K47),(ROUNDDOWN(PRODUCT(E47,G47,I47,K47)/1000,0)),"")</f>
        <v>480</v>
      </c>
      <c r="M47" s="205"/>
      <c r="N47" s="206"/>
    </row>
    <row r="48" spans="1:23" ht="18.75" customHeight="1">
      <c r="A48" s="572"/>
      <c r="B48" s="579"/>
      <c r="C48" s="579"/>
      <c r="D48" s="229" t="s">
        <v>423</v>
      </c>
      <c r="E48" s="230">
        <v>1</v>
      </c>
      <c r="F48" s="231" t="s">
        <v>410</v>
      </c>
      <c r="G48" s="232">
        <v>12</v>
      </c>
      <c r="H48" s="233" t="s">
        <v>391</v>
      </c>
      <c r="I48" s="232">
        <v>1</v>
      </c>
      <c r="J48" s="233" t="s">
        <v>392</v>
      </c>
      <c r="K48" s="234">
        <v>30000</v>
      </c>
      <c r="L48" s="214">
        <f>IF(ISNUMBER(K48),(ROUNDDOWN(PRODUCT(E48,G48,I48,K48)/1000,0)),"")</f>
        <v>360</v>
      </c>
      <c r="M48" s="246"/>
      <c r="N48" s="247"/>
    </row>
    <row r="49" spans="1:25" ht="18.75" customHeight="1">
      <c r="A49" s="572"/>
      <c r="B49" s="579"/>
      <c r="C49" s="579"/>
      <c r="D49" s="229"/>
      <c r="E49" s="230"/>
      <c r="F49" s="231"/>
      <c r="G49" s="232"/>
      <c r="H49" s="233"/>
      <c r="I49" s="232"/>
      <c r="J49" s="233"/>
      <c r="K49" s="234"/>
      <c r="L49" s="214" t="str">
        <f>IF(ISNUMBER(K49),(ROUNDDOWN(PRODUCT(E49,G49,I49,K49)/1000,0)),"")</f>
        <v/>
      </c>
      <c r="M49" s="246"/>
      <c r="N49" s="247"/>
    </row>
    <row r="50" spans="1:25" ht="18.75" customHeight="1">
      <c r="A50" s="572"/>
      <c r="B50" s="579"/>
      <c r="C50" s="579"/>
      <c r="D50" s="217"/>
      <c r="E50" s="218"/>
      <c r="F50" s="219"/>
      <c r="G50" s="220"/>
      <c r="H50" s="221"/>
      <c r="I50" s="220"/>
      <c r="J50" s="221"/>
      <c r="K50" s="222"/>
      <c r="L50" s="223" t="str">
        <f>IF(ISNUMBER(K50),(ROUNDDOWN(PRODUCT(E50,G50,I50,K50)/1000,0)),"")</f>
        <v/>
      </c>
      <c r="M50" s="224"/>
      <c r="N50" s="225"/>
    </row>
    <row r="51" spans="1:25" ht="18.75" customHeight="1">
      <c r="A51" s="572"/>
      <c r="B51" s="579"/>
      <c r="C51" s="579"/>
      <c r="D51" s="577" t="s">
        <v>396</v>
      </c>
      <c r="E51" s="577"/>
      <c r="F51" s="577"/>
      <c r="G51" s="577"/>
      <c r="H51" s="577"/>
      <c r="I51" s="577"/>
      <c r="J51" s="577"/>
      <c r="K51" s="577"/>
      <c r="L51" s="172">
        <f>SUM(L47:L50)</f>
        <v>840</v>
      </c>
      <c r="M51" s="578"/>
      <c r="N51" s="578"/>
      <c r="P51" s="192" t="s">
        <v>397</v>
      </c>
      <c r="Q51" s="227">
        <f>SUMIF(N47:N50,"○",L47:L50)</f>
        <v>0</v>
      </c>
      <c r="R51" s="228"/>
      <c r="S51" s="192" t="s">
        <v>398</v>
      </c>
      <c r="T51" s="227">
        <f>SUMIF(M47:M50,"○",L47:L50)</f>
        <v>0</v>
      </c>
      <c r="U51" s="228"/>
      <c r="V51" s="192" t="s">
        <v>399</v>
      </c>
      <c r="W51" s="227">
        <f>$L$51-$Q$51-$T$51</f>
        <v>840</v>
      </c>
    </row>
    <row r="52" spans="1:25" ht="18.75" customHeight="1">
      <c r="A52" s="572"/>
      <c r="B52" s="580" t="s">
        <v>358</v>
      </c>
      <c r="C52" s="580"/>
      <c r="D52" s="197" t="s">
        <v>424</v>
      </c>
      <c r="E52" s="198">
        <v>17</v>
      </c>
      <c r="F52" s="199" t="s">
        <v>417</v>
      </c>
      <c r="G52" s="202">
        <v>1</v>
      </c>
      <c r="H52" s="201" t="s">
        <v>410</v>
      </c>
      <c r="I52" s="202">
        <v>1</v>
      </c>
      <c r="J52" s="201" t="s">
        <v>392</v>
      </c>
      <c r="K52" s="203">
        <v>60000</v>
      </c>
      <c r="L52" s="204">
        <f>IF(ISNUMBER(K52),(ROUNDDOWN(PRODUCT(E52,G52,I52,K52)/1000,0)),"")</f>
        <v>1020</v>
      </c>
      <c r="M52" s="205"/>
      <c r="N52" s="206"/>
    </row>
    <row r="53" spans="1:25" ht="18.75" customHeight="1">
      <c r="A53" s="572"/>
      <c r="B53" s="580"/>
      <c r="C53" s="580"/>
      <c r="D53" s="207" t="s">
        <v>425</v>
      </c>
      <c r="E53" s="208">
        <v>1</v>
      </c>
      <c r="F53" s="209" t="s">
        <v>410</v>
      </c>
      <c r="G53" s="210">
        <v>1</v>
      </c>
      <c r="H53" s="211" t="s">
        <v>401</v>
      </c>
      <c r="I53" s="212">
        <v>1</v>
      </c>
      <c r="J53" s="211" t="s">
        <v>392</v>
      </c>
      <c r="K53" s="213">
        <v>500000</v>
      </c>
      <c r="L53" s="214">
        <f>IF(ISNUMBER(K53),(ROUNDDOWN(PRODUCT(E53,G53,I53,K53)/1000,0)),"")</f>
        <v>500</v>
      </c>
      <c r="M53" s="215"/>
      <c r="N53" s="216"/>
    </row>
    <row r="54" spans="1:25" ht="18.75" customHeight="1">
      <c r="A54" s="572"/>
      <c r="B54" s="580"/>
      <c r="C54" s="580"/>
      <c r="D54" s="207" t="s">
        <v>426</v>
      </c>
      <c r="E54" s="208">
        <v>1</v>
      </c>
      <c r="F54" s="209" t="s">
        <v>410</v>
      </c>
      <c r="G54" s="210">
        <v>1</v>
      </c>
      <c r="H54" s="211" t="s">
        <v>401</v>
      </c>
      <c r="I54" s="212">
        <v>1</v>
      </c>
      <c r="J54" s="211" t="s">
        <v>392</v>
      </c>
      <c r="K54" s="213">
        <v>150000</v>
      </c>
      <c r="L54" s="214">
        <f>IF(ISNUMBER(K54),(ROUNDDOWN(PRODUCT(E54,G54,I54,K54)/1000,0)),"")</f>
        <v>150</v>
      </c>
      <c r="M54" s="215"/>
      <c r="N54" s="216"/>
    </row>
    <row r="55" spans="1:25" ht="18.75" customHeight="1">
      <c r="A55" s="572"/>
      <c r="B55" s="580"/>
      <c r="C55" s="580"/>
      <c r="D55" s="207" t="s">
        <v>454</v>
      </c>
      <c r="E55" s="208">
        <v>1</v>
      </c>
      <c r="F55" s="209" t="s">
        <v>410</v>
      </c>
      <c r="G55" s="212">
        <v>1</v>
      </c>
      <c r="H55" s="211" t="s">
        <v>410</v>
      </c>
      <c r="I55" s="212">
        <v>1</v>
      </c>
      <c r="J55" s="211" t="s">
        <v>410</v>
      </c>
      <c r="K55" s="245">
        <v>200000</v>
      </c>
      <c r="L55" s="350">
        <f>IF(ISNUMBER(K55),(ROUNDDOWN(PRODUCT(E55,G55,I55,K55)/1000,0)),"")</f>
        <v>200</v>
      </c>
      <c r="M55" s="215"/>
      <c r="N55" s="216"/>
    </row>
    <row r="56" spans="1:25" ht="18.75" customHeight="1">
      <c r="A56" s="572"/>
      <c r="B56" s="580"/>
      <c r="C56" s="580"/>
      <c r="D56" s="250" t="s">
        <v>427</v>
      </c>
      <c r="E56" s="251">
        <v>12</v>
      </c>
      <c r="F56" s="252" t="s">
        <v>401</v>
      </c>
      <c r="G56" s="253">
        <v>1</v>
      </c>
      <c r="H56" s="254" t="s">
        <v>410</v>
      </c>
      <c r="I56" s="253">
        <v>1</v>
      </c>
      <c r="J56" s="254" t="s">
        <v>392</v>
      </c>
      <c r="K56" s="255">
        <v>50000</v>
      </c>
      <c r="L56" s="223">
        <f>IF(ISNUMBER(K56),(ROUNDDOWN(PRODUCT(E56,G56,I56,K56)/1000,0)),"")</f>
        <v>600</v>
      </c>
      <c r="M56" s="246"/>
      <c r="N56" s="257"/>
    </row>
    <row r="57" spans="1:25" ht="18.75" customHeight="1">
      <c r="A57" s="572"/>
      <c r="B57" s="580"/>
      <c r="C57" s="580"/>
      <c r="D57" s="581" t="s">
        <v>396</v>
      </c>
      <c r="E57" s="581"/>
      <c r="F57" s="581"/>
      <c r="G57" s="581"/>
      <c r="H57" s="581"/>
      <c r="I57" s="581"/>
      <c r="J57" s="581"/>
      <c r="K57" s="581"/>
      <c r="L57" s="259">
        <f>SUM(L52:L56)</f>
        <v>2470</v>
      </c>
      <c r="M57" s="578"/>
      <c r="N57" s="578"/>
      <c r="P57" s="192" t="s">
        <v>397</v>
      </c>
      <c r="Q57" s="227">
        <f>SUMIF(N52:N55,"○",L52:L55)</f>
        <v>0</v>
      </c>
      <c r="R57" s="228"/>
      <c r="S57" s="192" t="s">
        <v>398</v>
      </c>
      <c r="T57" s="227">
        <f>SUMIF(M52:M55,"○",L52:L55)</f>
        <v>0</v>
      </c>
      <c r="U57" s="228"/>
      <c r="V57" s="192" t="s">
        <v>399</v>
      </c>
      <c r="W57" s="227">
        <f>$L$57-$Q$57-$T$57</f>
        <v>2470</v>
      </c>
    </row>
    <row r="58" spans="1:25" ht="18.75" customHeight="1">
      <c r="A58" s="572"/>
      <c r="B58" s="580" t="s">
        <v>359</v>
      </c>
      <c r="C58" s="580"/>
      <c r="D58" s="242"/>
      <c r="E58" s="198"/>
      <c r="F58" s="199"/>
      <c r="G58" s="202"/>
      <c r="H58" s="201"/>
      <c r="I58" s="202"/>
      <c r="J58" s="201"/>
      <c r="K58" s="203"/>
      <c r="L58" s="204" t="str">
        <f>IF(ISNUMBER(K58),(ROUNDDOWN(PRODUCT(E58,G58,I58,K58)/1000,0)),"")</f>
        <v/>
      </c>
      <c r="M58" s="205"/>
      <c r="N58" s="206"/>
    </row>
    <row r="59" spans="1:25" ht="18.75" customHeight="1">
      <c r="A59" s="572"/>
      <c r="B59" s="580"/>
      <c r="C59" s="580"/>
      <c r="D59" s="207" t="s">
        <v>455</v>
      </c>
      <c r="E59" s="208">
        <v>40</v>
      </c>
      <c r="F59" s="209" t="s">
        <v>390</v>
      </c>
      <c r="G59" s="210">
        <v>1</v>
      </c>
      <c r="H59" s="211" t="s">
        <v>410</v>
      </c>
      <c r="I59" s="212">
        <v>1</v>
      </c>
      <c r="J59" s="211" t="s">
        <v>410</v>
      </c>
      <c r="K59" s="213">
        <v>1500</v>
      </c>
      <c r="L59" s="214">
        <f>IF(ISNUMBER(K59),(ROUNDDOWN(PRODUCT(E59,G59,I59,K59)/1000,0)),"")</f>
        <v>60</v>
      </c>
      <c r="M59" s="215"/>
      <c r="N59" s="216"/>
    </row>
    <row r="60" spans="1:25" ht="18.75" customHeight="1">
      <c r="A60" s="572"/>
      <c r="B60" s="580"/>
      <c r="C60" s="580"/>
      <c r="D60" s="244"/>
      <c r="E60" s="208"/>
      <c r="F60" s="209"/>
      <c r="G60" s="210"/>
      <c r="H60" s="211"/>
      <c r="I60" s="212"/>
      <c r="J60" s="211"/>
      <c r="K60" s="213"/>
      <c r="L60" s="214" t="str">
        <f>IF(ISNUMBER(K60),(ROUNDDOWN(PRODUCT(E60,G60,I60,K60)/1000,0)),"")</f>
        <v/>
      </c>
      <c r="M60" s="215"/>
      <c r="N60" s="216"/>
    </row>
    <row r="61" spans="1:25" ht="18.75" customHeight="1">
      <c r="A61" s="572"/>
      <c r="B61" s="580"/>
      <c r="C61" s="580"/>
      <c r="D61" s="244"/>
      <c r="E61" s="208"/>
      <c r="F61" s="209"/>
      <c r="G61" s="212"/>
      <c r="H61" s="211"/>
      <c r="I61" s="212"/>
      <c r="J61" s="211"/>
      <c r="K61" s="213"/>
      <c r="L61" s="223" t="str">
        <f>IF(ISNUMBER(K61),(ROUNDDOWN(PRODUCT(E61,G61,I61,K61)/1000,0)),"")</f>
        <v/>
      </c>
      <c r="M61" s="215"/>
      <c r="N61" s="216"/>
    </row>
    <row r="62" spans="1:25" ht="18.75" customHeight="1">
      <c r="A62" s="572"/>
      <c r="B62" s="580"/>
      <c r="C62" s="580"/>
      <c r="D62" s="581" t="s">
        <v>396</v>
      </c>
      <c r="E62" s="581"/>
      <c r="F62" s="581"/>
      <c r="G62" s="581"/>
      <c r="H62" s="581"/>
      <c r="I62" s="581"/>
      <c r="J62" s="581"/>
      <c r="K62" s="581"/>
      <c r="L62" s="259">
        <f>SUM(L58:L61)</f>
        <v>60</v>
      </c>
      <c r="M62" s="578"/>
      <c r="N62" s="578"/>
      <c r="P62" s="192" t="s">
        <v>397</v>
      </c>
      <c r="Q62" s="227">
        <f>SUMIF(N58:N61,"○",L58:L61)</f>
        <v>0</v>
      </c>
      <c r="R62" s="228"/>
      <c r="S62" s="192" t="s">
        <v>398</v>
      </c>
      <c r="T62" s="227">
        <f>SUMIF(M58:M61,"○",L58:L61)</f>
        <v>0</v>
      </c>
      <c r="U62" s="228"/>
      <c r="V62" s="192" t="s">
        <v>399</v>
      </c>
      <c r="W62" s="227">
        <f>$L$62-$Q$62-$T$62</f>
        <v>60</v>
      </c>
      <c r="X62" s="174" t="s">
        <v>360</v>
      </c>
      <c r="Y62" s="152">
        <f>SUM(L26,L31,L36,L41,L46,L51,L57,L62)</f>
        <v>45050</v>
      </c>
    </row>
    <row r="63" spans="1:25" ht="22.5" customHeight="1">
      <c r="A63" s="568" t="s">
        <v>361</v>
      </c>
      <c r="B63" s="568"/>
      <c r="C63" s="568"/>
      <c r="D63" s="583" t="s">
        <v>430</v>
      </c>
      <c r="E63" s="583"/>
      <c r="F63" s="583"/>
      <c r="G63" s="583"/>
      <c r="H63" s="583"/>
      <c r="I63" s="583"/>
      <c r="J63" s="583"/>
      <c r="K63" s="583"/>
      <c r="L63" s="260">
        <v>5000</v>
      </c>
      <c r="M63" s="584"/>
      <c r="N63" s="584"/>
    </row>
    <row r="64" spans="1:25" ht="22.5" customHeight="1">
      <c r="A64" s="585" t="s">
        <v>431</v>
      </c>
      <c r="B64" s="585"/>
      <c r="C64" s="585"/>
      <c r="D64" s="585"/>
      <c r="E64" s="585"/>
      <c r="F64" s="585"/>
      <c r="G64" s="585"/>
      <c r="H64" s="585"/>
      <c r="I64" s="585"/>
      <c r="J64" s="585"/>
      <c r="K64" s="585"/>
      <c r="L64" s="261">
        <f>SUM(L18,L26,L31,L36,L41,L46,L51,L57,L62,L63)</f>
        <v>70049</v>
      </c>
      <c r="M64" s="584"/>
      <c r="N64" s="584"/>
    </row>
    <row r="65" spans="1:23" ht="18" customHeight="1">
      <c r="A65" s="586"/>
      <c r="B65" s="586"/>
      <c r="C65" s="586"/>
      <c r="D65" s="586"/>
      <c r="E65" s="586"/>
      <c r="F65" s="586"/>
      <c r="G65" s="586"/>
      <c r="H65" s="587" t="s">
        <v>432</v>
      </c>
      <c r="I65" s="587"/>
      <c r="J65" s="587"/>
      <c r="K65" s="587"/>
      <c r="L65" s="262">
        <f>SUM(Q18,Q26,Q31,Q36,Q41,Q46,,Q51,Q57,Q62)</f>
        <v>21669</v>
      </c>
      <c r="M65" s="584"/>
      <c r="N65" s="584"/>
      <c r="P65" s="192"/>
      <c r="Q65" s="263"/>
      <c r="R65" s="228"/>
      <c r="S65" s="192"/>
      <c r="T65" s="263"/>
      <c r="U65" s="228"/>
      <c r="V65" s="192"/>
      <c r="W65" s="263"/>
    </row>
    <row r="66" spans="1:23" ht="18" customHeight="1">
      <c r="A66" s="586"/>
      <c r="B66" s="586"/>
      <c r="C66" s="586"/>
      <c r="D66" s="586"/>
      <c r="E66" s="586"/>
      <c r="F66" s="586"/>
      <c r="G66" s="586"/>
      <c r="H66" s="588" t="s">
        <v>433</v>
      </c>
      <c r="I66" s="588"/>
      <c r="J66" s="588"/>
      <c r="K66" s="588"/>
      <c r="L66" s="264">
        <f>SUM(T18,T26,T31,T36,T41,T46,,T51,T57,T62)</f>
        <v>0</v>
      </c>
      <c r="M66" s="584"/>
      <c r="N66" s="584"/>
      <c r="P66" s="160" t="s">
        <v>344</v>
      </c>
      <c r="Q66" s="263"/>
      <c r="R66" s="228"/>
      <c r="S66" s="192"/>
      <c r="T66" s="263"/>
      <c r="U66" s="228"/>
      <c r="V66" s="192"/>
      <c r="W66" s="263"/>
    </row>
    <row r="67" spans="1:23" ht="18" customHeight="1">
      <c r="A67" s="586"/>
      <c r="B67" s="586"/>
      <c r="C67" s="586"/>
      <c r="D67" s="586"/>
      <c r="E67" s="586"/>
      <c r="F67" s="586"/>
      <c r="G67" s="586"/>
      <c r="H67" s="589" t="s">
        <v>434</v>
      </c>
      <c r="I67" s="589"/>
      <c r="J67" s="589"/>
      <c r="K67" s="589"/>
      <c r="L67" s="265">
        <f>SUM(W18,W26,W31,W36,W41,W46,,W51,W57,W62)</f>
        <v>43380</v>
      </c>
      <c r="M67" s="584"/>
      <c r="N67" s="584"/>
      <c r="P67" s="163" t="str">
        <f>'１０．収支予算書'!$E$11</f>
        <v>【</v>
      </c>
      <c r="Q67" s="263"/>
      <c r="R67" s="228"/>
      <c r="S67" s="192"/>
      <c r="T67" s="263"/>
      <c r="U67" s="228"/>
      <c r="V67" s="192"/>
      <c r="W67" s="263"/>
    </row>
    <row r="68" spans="1:23" ht="22.5" customHeight="1">
      <c r="A68" s="590" t="s">
        <v>363</v>
      </c>
      <c r="B68" s="590"/>
      <c r="C68" s="590"/>
      <c r="D68" s="590"/>
      <c r="E68" s="590"/>
      <c r="F68" s="590"/>
      <c r="G68" s="590"/>
      <c r="H68" s="590"/>
      <c r="I68" s="590"/>
      <c r="J68" s="590"/>
      <c r="K68" s="590"/>
      <c r="L68" s="266">
        <f>SUM(ROUNDDOWN(L67*10/110,0),ROUNDDOWN(L66*8/108,0))</f>
        <v>3943</v>
      </c>
      <c r="M68" s="591"/>
      <c r="N68" s="591"/>
    </row>
    <row r="69" spans="1:23" ht="22.5" customHeight="1">
      <c r="A69" s="592" t="s">
        <v>364</v>
      </c>
      <c r="B69" s="592"/>
      <c r="C69" s="592"/>
      <c r="D69" s="592"/>
      <c r="E69" s="592"/>
      <c r="F69" s="592"/>
      <c r="G69" s="592"/>
      <c r="H69" s="592"/>
      <c r="I69" s="592"/>
      <c r="J69" s="592"/>
      <c r="K69" s="592"/>
      <c r="L69" s="267">
        <f>IF(OR($P$67="2",$P$67="3"),$L$64,$L$64-$L$68)</f>
        <v>66106</v>
      </c>
      <c r="M69" s="593"/>
      <c r="N69" s="593"/>
    </row>
    <row r="70" spans="1:23" ht="18.75" customHeight="1">
      <c r="A70" s="594" t="s">
        <v>365</v>
      </c>
      <c r="B70" s="594"/>
      <c r="C70" s="594"/>
      <c r="D70" s="242"/>
      <c r="E70" s="198"/>
      <c r="F70" s="199"/>
      <c r="G70" s="202"/>
      <c r="H70" s="201"/>
      <c r="I70" s="343"/>
      <c r="J70" s="344"/>
      <c r="K70" s="243"/>
      <c r="L70" s="268" t="str">
        <f>IF(ISNUMBER(K70),(ROUNDDOWN(PRODUCT(E70,G70,I70,K70)/1000,0)),"")</f>
        <v/>
      </c>
      <c r="M70" s="351"/>
      <c r="N70" s="352"/>
    </row>
    <row r="71" spans="1:23" ht="18.75" customHeight="1">
      <c r="A71" s="594"/>
      <c r="B71" s="594"/>
      <c r="C71" s="594"/>
      <c r="D71" s="244"/>
      <c r="E71" s="208"/>
      <c r="F71" s="209"/>
      <c r="G71" s="212"/>
      <c r="H71" s="211"/>
      <c r="I71" s="345"/>
      <c r="J71" s="346"/>
      <c r="K71" s="245"/>
      <c r="L71" s="214" t="str">
        <f>IF(ISNUMBER(K71),(ROUNDDOWN(PRODUCT(E71,G71,I71,K71)/1000,0)),"")</f>
        <v/>
      </c>
      <c r="M71" s="271"/>
      <c r="N71" s="272"/>
    </row>
    <row r="72" spans="1:23" ht="18.75" customHeight="1">
      <c r="A72" s="594"/>
      <c r="B72" s="594"/>
      <c r="C72" s="594"/>
      <c r="D72" s="244"/>
      <c r="E72" s="208"/>
      <c r="F72" s="209"/>
      <c r="G72" s="212"/>
      <c r="H72" s="211"/>
      <c r="I72" s="347"/>
      <c r="J72" s="348"/>
      <c r="K72" s="245"/>
      <c r="L72" s="214" t="str">
        <f>IF(ISNUMBER(K72),(ROUNDDOWN(PRODUCT(E72,G72,I72,K72)/1000,0)),"")</f>
        <v/>
      </c>
      <c r="M72" s="271"/>
      <c r="N72" s="272"/>
    </row>
    <row r="73" spans="1:23" ht="18.75" customHeight="1">
      <c r="A73" s="594"/>
      <c r="B73" s="594"/>
      <c r="C73" s="594"/>
      <c r="D73" s="353"/>
      <c r="E73" s="212"/>
      <c r="F73" s="209"/>
      <c r="G73" s="212"/>
      <c r="H73" s="211"/>
      <c r="I73" s="212"/>
      <c r="J73" s="211"/>
      <c r="K73" s="273"/>
      <c r="L73" s="214" t="str">
        <f>IF(ISNUMBER(K73),(ROUNDDOWN(PRODUCT(E73,G73,I73,K73)/1000,0)),"")</f>
        <v/>
      </c>
      <c r="M73" s="271"/>
      <c r="N73" s="272"/>
    </row>
    <row r="74" spans="1:23" ht="18.75" customHeight="1">
      <c r="A74" s="594"/>
      <c r="B74" s="594"/>
      <c r="C74" s="594"/>
      <c r="D74" s="274"/>
      <c r="E74" s="220"/>
      <c r="F74" s="219"/>
      <c r="G74" s="220"/>
      <c r="H74" s="221"/>
      <c r="I74" s="220"/>
      <c r="J74" s="221"/>
      <c r="K74" s="275"/>
      <c r="L74" s="223" t="str">
        <f>IF(ISNUMBER(K74),(PRODUCT(E74,G74,I74,K74)),"")</f>
        <v/>
      </c>
      <c r="M74" s="276"/>
      <c r="N74" s="277"/>
    </row>
    <row r="75" spans="1:23" ht="18.75" customHeight="1">
      <c r="A75" s="594"/>
      <c r="B75" s="594"/>
      <c r="C75" s="594"/>
      <c r="D75" s="595" t="s">
        <v>396</v>
      </c>
      <c r="E75" s="595"/>
      <c r="F75" s="595"/>
      <c r="G75" s="595"/>
      <c r="H75" s="595"/>
      <c r="I75" s="595"/>
      <c r="J75" s="595"/>
      <c r="K75" s="595"/>
      <c r="L75" s="278">
        <f>SUM(L70:L74)</f>
        <v>0</v>
      </c>
      <c r="M75" s="596"/>
      <c r="N75" s="596"/>
    </row>
    <row r="76" spans="1:23" ht="23.25" customHeight="1">
      <c r="A76" s="592" t="s">
        <v>435</v>
      </c>
      <c r="B76" s="592"/>
      <c r="C76" s="592"/>
      <c r="D76" s="592"/>
      <c r="E76" s="592"/>
      <c r="F76" s="592"/>
      <c r="G76" s="592"/>
      <c r="H76" s="592"/>
      <c r="I76" s="592"/>
      <c r="J76" s="592"/>
      <c r="K76" s="592"/>
      <c r="L76" s="176">
        <f>L64-L75</f>
        <v>70049</v>
      </c>
      <c r="M76" s="593"/>
      <c r="N76" s="593"/>
    </row>
    <row r="77" spans="1:23" ht="13.5" customHeight="1"/>
    <row r="78" spans="1:23" ht="13.5" customHeight="1"/>
    <row r="79" spans="1:23" ht="13.5" customHeight="1">
      <c r="A79" s="174" t="s">
        <v>456</v>
      </c>
      <c r="B79" s="174"/>
      <c r="C79" s="174"/>
      <c r="D79" s="174"/>
      <c r="E79" s="174"/>
      <c r="F79" s="174"/>
      <c r="G79" s="174"/>
      <c r="H79" s="174"/>
      <c r="I79" s="174"/>
      <c r="J79" s="174"/>
      <c r="K79" s="174"/>
      <c r="L79" s="174"/>
      <c r="M79" s="279"/>
      <c r="N79" s="279"/>
    </row>
    <row r="80" spans="1:23" ht="13.5" customHeight="1">
      <c r="A80" s="280" t="s">
        <v>373</v>
      </c>
      <c r="B80" s="281" t="s">
        <v>457</v>
      </c>
      <c r="C80" s="174"/>
      <c r="D80" s="174"/>
      <c r="E80" s="174"/>
      <c r="F80" s="174"/>
      <c r="G80" s="174"/>
      <c r="H80" s="174"/>
      <c r="I80" s="174"/>
      <c r="J80" s="174"/>
      <c r="K80" s="174"/>
      <c r="L80" s="174"/>
      <c r="M80" s="279"/>
      <c r="N80" s="279"/>
    </row>
    <row r="81" spans="1:15" ht="13.5" customHeight="1">
      <c r="A81" s="164"/>
      <c r="B81" s="174"/>
      <c r="C81" s="174"/>
      <c r="D81" s="174"/>
      <c r="E81" s="174"/>
      <c r="F81" s="174"/>
      <c r="G81" s="174"/>
      <c r="H81" s="174"/>
      <c r="I81" s="174"/>
      <c r="J81" s="174"/>
      <c r="K81" s="174"/>
      <c r="L81" s="174"/>
      <c r="M81" s="279"/>
      <c r="N81" s="279"/>
    </row>
    <row r="82" spans="1:15" s="284" customFormat="1" ht="21.75" customHeight="1">
      <c r="A82" s="597" t="s">
        <v>438</v>
      </c>
      <c r="B82" s="597"/>
      <c r="C82" s="598" t="s">
        <v>250</v>
      </c>
      <c r="D82" s="598"/>
      <c r="E82" s="598"/>
      <c r="F82" s="598"/>
      <c r="G82" s="598"/>
      <c r="H82" s="598"/>
      <c r="I82" s="598"/>
      <c r="J82" s="598"/>
      <c r="K82" s="598"/>
      <c r="L82" s="282"/>
      <c r="M82" s="282"/>
      <c r="N82" s="282"/>
      <c r="O82" s="283"/>
    </row>
    <row r="83" spans="1:15" s="284" customFormat="1" ht="15" customHeight="1">
      <c r="A83" s="282"/>
      <c r="B83" s="282"/>
      <c r="C83" s="282"/>
      <c r="D83" s="282"/>
      <c r="E83" s="282"/>
      <c r="F83" s="282"/>
      <c r="G83" s="282"/>
      <c r="H83" s="282"/>
      <c r="I83" s="282"/>
      <c r="J83" s="282"/>
      <c r="K83" s="282"/>
      <c r="L83" s="285"/>
      <c r="M83" s="285"/>
      <c r="N83" s="286"/>
      <c r="O83" s="283"/>
    </row>
    <row r="84" spans="1:15" s="284" customFormat="1" ht="15" customHeight="1">
      <c r="A84" s="282"/>
      <c r="B84" s="282"/>
      <c r="C84" s="282"/>
      <c r="D84" s="282"/>
      <c r="E84" s="282"/>
      <c r="F84" s="282"/>
      <c r="G84" s="282"/>
      <c r="H84" s="282"/>
      <c r="I84" s="282"/>
      <c r="J84" s="282"/>
      <c r="K84" s="282"/>
      <c r="L84" s="285"/>
      <c r="M84" s="285"/>
      <c r="N84" s="286"/>
    </row>
    <row r="85" spans="1:15" s="284" customFormat="1" ht="22.5" customHeight="1">
      <c r="A85" s="287" t="s">
        <v>347</v>
      </c>
      <c r="B85" s="599" t="s">
        <v>245</v>
      </c>
      <c r="C85" s="599"/>
      <c r="D85" s="288" t="s">
        <v>383</v>
      </c>
      <c r="E85" s="599" t="s">
        <v>384</v>
      </c>
      <c r="F85" s="599"/>
      <c r="G85" s="599" t="s">
        <v>384</v>
      </c>
      <c r="H85" s="599"/>
      <c r="I85" s="599" t="s">
        <v>384</v>
      </c>
      <c r="J85" s="599"/>
      <c r="K85" s="289" t="s">
        <v>385</v>
      </c>
      <c r="L85" s="290" t="s">
        <v>386</v>
      </c>
      <c r="M85" s="291" t="s">
        <v>387</v>
      </c>
      <c r="N85" s="292" t="s">
        <v>388</v>
      </c>
    </row>
    <row r="86" spans="1:15" s="282" customFormat="1" ht="18.75" customHeight="1">
      <c r="A86" s="600" t="s">
        <v>349</v>
      </c>
      <c r="B86" s="601" t="s">
        <v>350</v>
      </c>
      <c r="C86" s="601"/>
      <c r="D86" s="293" t="s">
        <v>439</v>
      </c>
      <c r="E86" s="294">
        <v>1</v>
      </c>
      <c r="F86" s="295" t="s">
        <v>390</v>
      </c>
      <c r="G86" s="296">
        <v>12</v>
      </c>
      <c r="H86" s="297" t="s">
        <v>391</v>
      </c>
      <c r="I86" s="202">
        <v>1</v>
      </c>
      <c r="J86" s="201" t="s">
        <v>392</v>
      </c>
      <c r="K86" s="203">
        <v>250000</v>
      </c>
      <c r="L86" s="299">
        <f>IF(ISNUMBER(K86),(ROUNDDOWN(PRODUCT(E86,G86,I86,K86)/1000,0)),"")</f>
        <v>3000</v>
      </c>
      <c r="M86" s="300"/>
      <c r="N86" s="301" t="s">
        <v>393</v>
      </c>
    </row>
    <row r="87" spans="1:15" s="282" customFormat="1" ht="18.75" customHeight="1">
      <c r="A87" s="600"/>
      <c r="B87" s="601"/>
      <c r="C87" s="601"/>
      <c r="D87" s="324"/>
      <c r="E87" s="303"/>
      <c r="F87" s="325"/>
      <c r="G87" s="305"/>
      <c r="H87" s="326"/>
      <c r="I87" s="305"/>
      <c r="J87" s="326"/>
      <c r="K87" s="307"/>
      <c r="L87" s="308" t="str">
        <f>IF(ISNUMBER(K87),(ROUNDDOWN(PRODUCT(E87,G87,I87,K87)/1000,0)),"")</f>
        <v/>
      </c>
      <c r="M87" s="309"/>
      <c r="N87" s="310"/>
    </row>
    <row r="88" spans="1:15" s="282" customFormat="1" ht="18.75" customHeight="1">
      <c r="A88" s="600"/>
      <c r="B88" s="601"/>
      <c r="C88" s="601"/>
      <c r="D88" s="324"/>
      <c r="E88" s="303"/>
      <c r="F88" s="325"/>
      <c r="G88" s="305"/>
      <c r="H88" s="326"/>
      <c r="I88" s="305"/>
      <c r="J88" s="326"/>
      <c r="K88" s="307"/>
      <c r="L88" s="308" t="str">
        <f>IF(ISNUMBER(K88),(ROUNDDOWN(PRODUCT(E88,G88,I88,K88)/1000,0)),"")</f>
        <v/>
      </c>
      <c r="M88" s="309"/>
      <c r="N88" s="310"/>
    </row>
    <row r="89" spans="1:15" s="282" customFormat="1" ht="18.75" customHeight="1">
      <c r="A89" s="600"/>
      <c r="B89" s="601"/>
      <c r="C89" s="601"/>
      <c r="D89" s="311"/>
      <c r="E89" s="312"/>
      <c r="F89" s="313"/>
      <c r="G89" s="314"/>
      <c r="H89" s="315"/>
      <c r="I89" s="314"/>
      <c r="J89" s="315"/>
      <c r="K89" s="316"/>
      <c r="L89" s="317" t="str">
        <f>IF(ISNUMBER(K89),(ROUNDDOWN(PRODUCT(E89,G89,I89,K89)/1000,0)),"")</f>
        <v/>
      </c>
      <c r="M89" s="318"/>
      <c r="N89" s="319"/>
    </row>
    <row r="90" spans="1:15" s="282" customFormat="1" ht="18.75" customHeight="1">
      <c r="A90" s="600"/>
      <c r="B90" s="601"/>
      <c r="C90" s="601"/>
      <c r="D90" s="602" t="s">
        <v>396</v>
      </c>
      <c r="E90" s="602"/>
      <c r="F90" s="602"/>
      <c r="G90" s="602"/>
      <c r="H90" s="602"/>
      <c r="I90" s="602"/>
      <c r="J90" s="602"/>
      <c r="K90" s="602"/>
      <c r="L90" s="320">
        <f>SUM(L86:L89)</f>
        <v>3000</v>
      </c>
      <c r="M90" s="603"/>
      <c r="N90" s="603"/>
    </row>
    <row r="91" spans="1:15" s="282" customFormat="1" ht="18.75" customHeight="1">
      <c r="A91" s="600" t="s">
        <v>351</v>
      </c>
      <c r="B91" s="601" t="s">
        <v>352</v>
      </c>
      <c r="C91" s="601"/>
      <c r="D91" s="293"/>
      <c r="E91" s="294"/>
      <c r="F91" s="295"/>
      <c r="G91" s="296"/>
      <c r="H91" s="297"/>
      <c r="I91" s="202"/>
      <c r="J91" s="201"/>
      <c r="K91" s="203"/>
      <c r="L91" s="299" t="str">
        <f>IF(ISNUMBER(K91),(ROUNDDOWN(PRODUCT(E91,G91,I91,K91)/1000,0)),"")</f>
        <v/>
      </c>
      <c r="M91" s="300"/>
      <c r="N91" s="301"/>
    </row>
    <row r="92" spans="1:15" s="282" customFormat="1" ht="18.75" customHeight="1">
      <c r="A92" s="600"/>
      <c r="B92" s="601"/>
      <c r="C92" s="601"/>
      <c r="D92" s="324"/>
      <c r="E92" s="303"/>
      <c r="F92" s="325"/>
      <c r="G92" s="305"/>
      <c r="H92" s="326"/>
      <c r="I92" s="305"/>
      <c r="J92" s="326"/>
      <c r="K92" s="307"/>
      <c r="L92" s="308" t="str">
        <f>IF(ISNUMBER(K92),(ROUNDDOWN(PRODUCT(E92,G92,I92,K92)/1000,0)),"")</f>
        <v/>
      </c>
      <c r="M92" s="309"/>
      <c r="N92" s="310"/>
    </row>
    <row r="93" spans="1:15" s="282" customFormat="1" ht="18.75" customHeight="1">
      <c r="A93" s="600"/>
      <c r="B93" s="601"/>
      <c r="C93" s="601"/>
      <c r="D93" s="311"/>
      <c r="E93" s="312"/>
      <c r="F93" s="313"/>
      <c r="G93" s="314"/>
      <c r="H93" s="315"/>
      <c r="I93" s="314"/>
      <c r="J93" s="315"/>
      <c r="K93" s="316"/>
      <c r="L93" s="317" t="str">
        <f>IF(ISNUMBER(K93),(ROUNDDOWN(PRODUCT(E93,G93,I93,K93)/1000,0)),"")</f>
        <v/>
      </c>
      <c r="M93" s="318"/>
      <c r="N93" s="319"/>
    </row>
    <row r="94" spans="1:15" s="282" customFormat="1" ht="18.75" customHeight="1">
      <c r="A94" s="600"/>
      <c r="B94" s="601"/>
      <c r="C94" s="601"/>
      <c r="D94" s="602" t="s">
        <v>396</v>
      </c>
      <c r="E94" s="602"/>
      <c r="F94" s="602"/>
      <c r="G94" s="602"/>
      <c r="H94" s="602"/>
      <c r="I94" s="602"/>
      <c r="J94" s="602"/>
      <c r="K94" s="602"/>
      <c r="L94" s="321">
        <f>SUM(L91:L93)</f>
        <v>0</v>
      </c>
      <c r="M94" s="603"/>
      <c r="N94" s="603"/>
    </row>
    <row r="95" spans="1:15" s="282" customFormat="1" ht="18.75" customHeight="1">
      <c r="A95" s="600"/>
      <c r="B95" s="601" t="s">
        <v>353</v>
      </c>
      <c r="C95" s="601"/>
      <c r="D95" s="293"/>
      <c r="E95" s="294"/>
      <c r="F95" s="295"/>
      <c r="G95" s="296"/>
      <c r="H95" s="297"/>
      <c r="I95" s="202"/>
      <c r="J95" s="201"/>
      <c r="K95" s="203"/>
      <c r="L95" s="299" t="str">
        <f>IF(ISNUMBER(K95),(ROUNDDOWN(PRODUCT(E95,G95,I95,K95)/1000,0)),"")</f>
        <v/>
      </c>
      <c r="M95" s="300"/>
      <c r="N95" s="301"/>
    </row>
    <row r="96" spans="1:15" s="282" customFormat="1" ht="18.75" customHeight="1">
      <c r="A96" s="600"/>
      <c r="B96" s="601"/>
      <c r="C96" s="601"/>
      <c r="D96" s="324"/>
      <c r="E96" s="303"/>
      <c r="F96" s="325"/>
      <c r="G96" s="305"/>
      <c r="H96" s="326"/>
      <c r="I96" s="212"/>
      <c r="J96" s="211"/>
      <c r="K96" s="213"/>
      <c r="L96" s="308" t="str">
        <f>IF(ISNUMBER(K96),(ROUNDDOWN(PRODUCT(E96,G96,I96,K96)/1000,0)),"")</f>
        <v/>
      </c>
      <c r="M96" s="309"/>
      <c r="N96" s="310"/>
    </row>
    <row r="97" spans="1:14" s="282" customFormat="1" ht="18.75" customHeight="1">
      <c r="A97" s="600"/>
      <c r="B97" s="601"/>
      <c r="C97" s="601"/>
      <c r="D97" s="311"/>
      <c r="E97" s="312"/>
      <c r="F97" s="313"/>
      <c r="G97" s="314"/>
      <c r="H97" s="315"/>
      <c r="I97" s="314"/>
      <c r="J97" s="315"/>
      <c r="K97" s="316"/>
      <c r="L97" s="317" t="str">
        <f>IF(ISNUMBER(K97),(ROUNDDOWN(PRODUCT(E97,G97,I97,K97)/1000,0)),"")</f>
        <v/>
      </c>
      <c r="M97" s="318"/>
      <c r="N97" s="319"/>
    </row>
    <row r="98" spans="1:14" s="282" customFormat="1" ht="18.75" customHeight="1">
      <c r="A98" s="600"/>
      <c r="B98" s="601"/>
      <c r="C98" s="601"/>
      <c r="D98" s="602" t="s">
        <v>396</v>
      </c>
      <c r="E98" s="602"/>
      <c r="F98" s="602"/>
      <c r="G98" s="602"/>
      <c r="H98" s="602"/>
      <c r="I98" s="602"/>
      <c r="J98" s="602"/>
      <c r="K98" s="602"/>
      <c r="L98" s="322">
        <f>SUM(L95:L97)</f>
        <v>0</v>
      </c>
      <c r="M98" s="603"/>
      <c r="N98" s="603"/>
    </row>
    <row r="99" spans="1:14" s="282" customFormat="1" ht="18.75" customHeight="1">
      <c r="A99" s="600"/>
      <c r="B99" s="601" t="s">
        <v>354</v>
      </c>
      <c r="C99" s="601"/>
      <c r="D99" s="293"/>
      <c r="E99" s="294"/>
      <c r="F99" s="295"/>
      <c r="G99" s="296"/>
      <c r="H99" s="297"/>
      <c r="I99" s="202"/>
      <c r="J99" s="201"/>
      <c r="K99" s="200"/>
      <c r="L99" s="299" t="str">
        <f>IF(ISNUMBER(K99),(ROUNDDOWN(PRODUCT(E99,G99,I99,K99)/1000,0)),"")</f>
        <v/>
      </c>
      <c r="M99" s="300"/>
      <c r="N99" s="301"/>
    </row>
    <row r="100" spans="1:14" s="282" customFormat="1" ht="18.75" customHeight="1">
      <c r="A100" s="600"/>
      <c r="B100" s="601"/>
      <c r="C100" s="601"/>
      <c r="D100" s="324"/>
      <c r="E100" s="303"/>
      <c r="F100" s="325"/>
      <c r="G100" s="305"/>
      <c r="H100" s="326"/>
      <c r="I100" s="305"/>
      <c r="J100" s="326"/>
      <c r="K100" s="307"/>
      <c r="L100" s="308" t="str">
        <f>IF(ISNUMBER(K100),(ROUNDDOWN(PRODUCT(E100,G100,I100,K100)/1000,0)),"")</f>
        <v/>
      </c>
      <c r="M100" s="309"/>
      <c r="N100" s="310"/>
    </row>
    <row r="101" spans="1:14" s="282" customFormat="1" ht="18.75" customHeight="1">
      <c r="A101" s="600"/>
      <c r="B101" s="601"/>
      <c r="C101" s="601"/>
      <c r="D101" s="311"/>
      <c r="E101" s="312"/>
      <c r="F101" s="313"/>
      <c r="G101" s="314"/>
      <c r="H101" s="315"/>
      <c r="I101" s="314"/>
      <c r="J101" s="315"/>
      <c r="K101" s="316"/>
      <c r="L101" s="317" t="str">
        <f>IF(ISNUMBER(K101),(ROUNDDOWN(PRODUCT(E101,G101,I101,K101)/1000,0)),"")</f>
        <v/>
      </c>
      <c r="M101" s="318"/>
      <c r="N101" s="319"/>
    </row>
    <row r="102" spans="1:14" s="282" customFormat="1" ht="18.75" customHeight="1">
      <c r="A102" s="600"/>
      <c r="B102" s="601"/>
      <c r="C102" s="601"/>
      <c r="D102" s="602" t="s">
        <v>396</v>
      </c>
      <c r="E102" s="602"/>
      <c r="F102" s="602"/>
      <c r="G102" s="602"/>
      <c r="H102" s="602"/>
      <c r="I102" s="602"/>
      <c r="J102" s="602"/>
      <c r="K102" s="602"/>
      <c r="L102" s="323">
        <f>SUM(L99:L101)</f>
        <v>0</v>
      </c>
      <c r="M102" s="603"/>
      <c r="N102" s="603"/>
    </row>
    <row r="103" spans="1:14" s="282" customFormat="1" ht="18.75" customHeight="1">
      <c r="A103" s="600"/>
      <c r="B103" s="601" t="s">
        <v>355</v>
      </c>
      <c r="C103" s="601"/>
      <c r="D103" s="293"/>
      <c r="E103" s="294"/>
      <c r="F103" s="295"/>
      <c r="G103" s="296"/>
      <c r="H103" s="297"/>
      <c r="I103" s="202"/>
      <c r="J103" s="201"/>
      <c r="K103" s="203"/>
      <c r="L103" s="299" t="str">
        <f>IF(ISNUMBER(K103),(ROUNDDOWN(PRODUCT(E103,G103,I103,K103)/1000,0)),"")</f>
        <v/>
      </c>
      <c r="M103" s="300"/>
      <c r="N103" s="301"/>
    </row>
    <row r="104" spans="1:14" s="282" customFormat="1" ht="18.75" customHeight="1">
      <c r="A104" s="600"/>
      <c r="B104" s="601"/>
      <c r="C104" s="601"/>
      <c r="D104" s="324"/>
      <c r="E104" s="303"/>
      <c r="F104" s="325"/>
      <c r="G104" s="305"/>
      <c r="H104" s="326"/>
      <c r="I104" s="305"/>
      <c r="J104" s="326"/>
      <c r="K104" s="307"/>
      <c r="L104" s="308" t="str">
        <f>IF(ISNUMBER(K104),(ROUNDDOWN(PRODUCT(E104,G104,I104,K104)/1000,0)),"")</f>
        <v/>
      </c>
      <c r="M104" s="309"/>
      <c r="N104" s="310"/>
    </row>
    <row r="105" spans="1:14" s="282" customFormat="1" ht="18.75" customHeight="1">
      <c r="A105" s="600"/>
      <c r="B105" s="601"/>
      <c r="C105" s="601"/>
      <c r="D105" s="311"/>
      <c r="E105" s="312"/>
      <c r="F105" s="313"/>
      <c r="G105" s="314"/>
      <c r="H105" s="315"/>
      <c r="I105" s="314"/>
      <c r="J105" s="315"/>
      <c r="K105" s="316"/>
      <c r="L105" s="317" t="str">
        <f>IF(ISNUMBER(K105),(ROUNDDOWN(PRODUCT(E105,G105,I105,K105)/1000,0)),"")</f>
        <v/>
      </c>
      <c r="M105" s="318"/>
      <c r="N105" s="319"/>
    </row>
    <row r="106" spans="1:14" s="282" customFormat="1" ht="18.75" customHeight="1">
      <c r="A106" s="600"/>
      <c r="B106" s="601"/>
      <c r="C106" s="601"/>
      <c r="D106" s="602" t="s">
        <v>396</v>
      </c>
      <c r="E106" s="602"/>
      <c r="F106" s="602"/>
      <c r="G106" s="602"/>
      <c r="H106" s="602"/>
      <c r="I106" s="602"/>
      <c r="J106" s="602"/>
      <c r="K106" s="602"/>
      <c r="L106" s="320">
        <f>SUM(L103:L105)</f>
        <v>0</v>
      </c>
      <c r="M106" s="603"/>
      <c r="N106" s="603"/>
    </row>
    <row r="107" spans="1:14" s="282" customFormat="1" ht="18.75" customHeight="1">
      <c r="A107" s="600"/>
      <c r="B107" s="601" t="s">
        <v>356</v>
      </c>
      <c r="C107" s="601"/>
      <c r="D107" s="293"/>
      <c r="E107" s="294"/>
      <c r="F107" s="295"/>
      <c r="G107" s="296"/>
      <c r="H107" s="297"/>
      <c r="I107" s="202"/>
      <c r="J107" s="201"/>
      <c r="K107" s="203"/>
      <c r="L107" s="299" t="str">
        <f>IF(ISNUMBER(K107),(ROUNDDOWN(PRODUCT(E107,G107,I107,K107)/1000,0)),"")</f>
        <v/>
      </c>
      <c r="M107" s="300"/>
      <c r="N107" s="301"/>
    </row>
    <row r="108" spans="1:14" s="282" customFormat="1" ht="18.75" customHeight="1">
      <c r="A108" s="600"/>
      <c r="B108" s="601"/>
      <c r="C108" s="601"/>
      <c r="D108" s="324"/>
      <c r="E108" s="303"/>
      <c r="F108" s="325"/>
      <c r="G108" s="305"/>
      <c r="H108" s="326"/>
      <c r="I108" s="305"/>
      <c r="J108" s="326"/>
      <c r="K108" s="307"/>
      <c r="L108" s="308" t="str">
        <f>IF(ISNUMBER(K108),(ROUNDDOWN(PRODUCT(E108,G108,I108,K108)/1000,0)),"")</f>
        <v/>
      </c>
      <c r="M108" s="309"/>
      <c r="N108" s="310"/>
    </row>
    <row r="109" spans="1:14" s="282" customFormat="1" ht="18.75" customHeight="1">
      <c r="A109" s="600"/>
      <c r="B109" s="601"/>
      <c r="C109" s="601"/>
      <c r="D109" s="311"/>
      <c r="E109" s="312"/>
      <c r="F109" s="313"/>
      <c r="G109" s="314"/>
      <c r="H109" s="315"/>
      <c r="I109" s="314"/>
      <c r="J109" s="315"/>
      <c r="K109" s="316"/>
      <c r="L109" s="317" t="str">
        <f>IF(ISNUMBER(K109),(ROUNDDOWN(PRODUCT(E109,G109,I109,K109)/1000,0)),"")</f>
        <v/>
      </c>
      <c r="M109" s="318"/>
      <c r="N109" s="319"/>
    </row>
    <row r="110" spans="1:14" s="282" customFormat="1" ht="18.75" customHeight="1">
      <c r="A110" s="600"/>
      <c r="B110" s="601"/>
      <c r="C110" s="601"/>
      <c r="D110" s="602" t="s">
        <v>396</v>
      </c>
      <c r="E110" s="602"/>
      <c r="F110" s="602"/>
      <c r="G110" s="602"/>
      <c r="H110" s="602"/>
      <c r="I110" s="602"/>
      <c r="J110" s="602"/>
      <c r="K110" s="602"/>
      <c r="L110" s="323">
        <f>SUM(L107:L109)</f>
        <v>0</v>
      </c>
      <c r="M110" s="603"/>
      <c r="N110" s="603"/>
    </row>
    <row r="111" spans="1:14" s="282" customFormat="1" ht="18.75" customHeight="1">
      <c r="A111" s="600"/>
      <c r="B111" s="604" t="s">
        <v>357</v>
      </c>
      <c r="C111" s="604"/>
      <c r="D111" s="293"/>
      <c r="E111" s="294"/>
      <c r="F111" s="295"/>
      <c r="G111" s="296"/>
      <c r="H111" s="297"/>
      <c r="I111" s="212"/>
      <c r="J111" s="211"/>
      <c r="K111" s="213"/>
      <c r="L111" s="299" t="str">
        <f>IF(ISNUMBER(K111),(ROUNDDOWN(PRODUCT(E111,G111,I111,K111)/1000,0)),"")</f>
        <v/>
      </c>
      <c r="M111" s="300"/>
      <c r="N111" s="301"/>
    </row>
    <row r="112" spans="1:14" s="282" customFormat="1" ht="19.5" customHeight="1">
      <c r="A112" s="600"/>
      <c r="B112" s="604"/>
      <c r="C112" s="604"/>
      <c r="D112" s="324"/>
      <c r="E112" s="303"/>
      <c r="F112" s="325"/>
      <c r="G112" s="305"/>
      <c r="H112" s="326"/>
      <c r="I112" s="305"/>
      <c r="J112" s="326"/>
      <c r="K112" s="307"/>
      <c r="L112" s="308" t="str">
        <f>IF(ISNUMBER(K112),(ROUNDDOWN(PRODUCT(E112,G112,I112,K112)/1000,0)),"")</f>
        <v/>
      </c>
      <c r="M112" s="309"/>
      <c r="N112" s="310"/>
    </row>
    <row r="113" spans="1:14" s="282" customFormat="1" ht="18.75" customHeight="1">
      <c r="A113" s="600"/>
      <c r="B113" s="604"/>
      <c r="C113" s="604"/>
      <c r="D113" s="311"/>
      <c r="E113" s="312"/>
      <c r="F113" s="313"/>
      <c r="G113" s="314"/>
      <c r="H113" s="315"/>
      <c r="I113" s="314"/>
      <c r="J113" s="315"/>
      <c r="K113" s="316"/>
      <c r="L113" s="317" t="str">
        <f>IF(ISNUMBER(K113),(ROUNDDOWN(PRODUCT(E113,G113,I113,K113)/1000,0)),"")</f>
        <v/>
      </c>
      <c r="M113" s="318"/>
      <c r="N113" s="319"/>
    </row>
    <row r="114" spans="1:14" s="282" customFormat="1" ht="18.75" customHeight="1">
      <c r="A114" s="600"/>
      <c r="B114" s="604"/>
      <c r="C114" s="604"/>
      <c r="D114" s="602" t="s">
        <v>396</v>
      </c>
      <c r="E114" s="602"/>
      <c r="F114" s="602"/>
      <c r="G114" s="602"/>
      <c r="H114" s="602"/>
      <c r="I114" s="602"/>
      <c r="J114" s="602"/>
      <c r="K114" s="602"/>
      <c r="L114" s="320">
        <f>SUM(L111:L113)</f>
        <v>0</v>
      </c>
      <c r="M114" s="603"/>
      <c r="N114" s="603"/>
    </row>
    <row r="115" spans="1:14" s="282" customFormat="1" ht="18.75" customHeight="1">
      <c r="A115" s="600"/>
      <c r="B115" s="601" t="s">
        <v>358</v>
      </c>
      <c r="C115" s="601"/>
      <c r="D115" s="293" t="s">
        <v>440</v>
      </c>
      <c r="E115" s="294">
        <v>1</v>
      </c>
      <c r="F115" s="295" t="s">
        <v>410</v>
      </c>
      <c r="G115" s="296">
        <v>1</v>
      </c>
      <c r="H115" s="297" t="s">
        <v>401</v>
      </c>
      <c r="I115" s="202">
        <v>1</v>
      </c>
      <c r="J115" s="201" t="s">
        <v>392</v>
      </c>
      <c r="K115" s="203">
        <v>1500000</v>
      </c>
      <c r="L115" s="204">
        <f>IF(ISNUMBER(K115),(ROUNDDOWN(PRODUCT(E115,G115,I115,K115)/1000,0)),"")</f>
        <v>1500</v>
      </c>
      <c r="M115" s="300"/>
      <c r="N115" s="301"/>
    </row>
    <row r="116" spans="1:14" s="282" customFormat="1" ht="18.75" customHeight="1">
      <c r="A116" s="600"/>
      <c r="B116" s="601"/>
      <c r="C116" s="601"/>
      <c r="D116" s="324" t="s">
        <v>441</v>
      </c>
      <c r="E116" s="303">
        <v>1</v>
      </c>
      <c r="F116" s="325" t="s">
        <v>410</v>
      </c>
      <c r="G116" s="305">
        <v>1</v>
      </c>
      <c r="H116" s="326" t="s">
        <v>401</v>
      </c>
      <c r="I116" s="305">
        <v>1</v>
      </c>
      <c r="J116" s="326" t="s">
        <v>392</v>
      </c>
      <c r="K116" s="307">
        <v>500000</v>
      </c>
      <c r="L116" s="214">
        <f>IF(ISNUMBER(K116),(ROUNDDOWN(PRODUCT(E116,G116,I116,K116)/1000,0)),"")</f>
        <v>500</v>
      </c>
      <c r="M116" s="309"/>
      <c r="N116" s="310"/>
    </row>
    <row r="117" spans="1:14" s="282" customFormat="1" ht="18.75" customHeight="1">
      <c r="A117" s="600"/>
      <c r="B117" s="601"/>
      <c r="C117" s="601"/>
      <c r="D117" s="324"/>
      <c r="E117" s="303"/>
      <c r="F117" s="325"/>
      <c r="G117" s="305"/>
      <c r="H117" s="326"/>
      <c r="I117" s="305"/>
      <c r="J117" s="326"/>
      <c r="K117" s="307"/>
      <c r="L117" s="214" t="str">
        <f>IF(ISNUMBER(K117),(ROUNDDOWN(PRODUCT(E117,G117,I117,K117)/1000,0)),"")</f>
        <v/>
      </c>
      <c r="M117" s="309"/>
      <c r="N117" s="310"/>
    </row>
    <row r="118" spans="1:14" s="282" customFormat="1" ht="18.75" customHeight="1">
      <c r="A118" s="600"/>
      <c r="B118" s="601"/>
      <c r="C118" s="601"/>
      <c r="D118" s="311"/>
      <c r="E118" s="312"/>
      <c r="F118" s="313"/>
      <c r="G118" s="314"/>
      <c r="H118" s="315"/>
      <c r="I118" s="314"/>
      <c r="J118" s="315"/>
      <c r="K118" s="316"/>
      <c r="L118" s="223" t="str">
        <f>IF(ISNUMBER(K118),(ROUNDDOWN(PRODUCT(E118,G118,I118,K118)/1000,0)),"")</f>
        <v/>
      </c>
      <c r="M118" s="318"/>
      <c r="N118" s="319"/>
    </row>
    <row r="119" spans="1:14" s="282" customFormat="1" ht="18.75" customHeight="1">
      <c r="A119" s="600"/>
      <c r="B119" s="601"/>
      <c r="C119" s="601"/>
      <c r="D119" s="602" t="s">
        <v>396</v>
      </c>
      <c r="E119" s="602"/>
      <c r="F119" s="602"/>
      <c r="G119" s="602"/>
      <c r="H119" s="602"/>
      <c r="I119" s="602"/>
      <c r="J119" s="602"/>
      <c r="K119" s="602"/>
      <c r="L119" s="321">
        <f>SUM(L115:L118)</f>
        <v>2000</v>
      </c>
      <c r="M119" s="603"/>
      <c r="N119" s="603"/>
    </row>
    <row r="120" spans="1:14" s="282" customFormat="1" ht="18.75" customHeight="1">
      <c r="A120" s="600"/>
      <c r="B120" s="601" t="s">
        <v>359</v>
      </c>
      <c r="C120" s="601"/>
      <c r="D120" s="293"/>
      <c r="E120" s="294"/>
      <c r="F120" s="295"/>
      <c r="G120" s="296"/>
      <c r="H120" s="297"/>
      <c r="I120" s="202"/>
      <c r="J120" s="201"/>
      <c r="K120" s="203"/>
      <c r="L120" s="204" t="str">
        <f>IF(ISNUMBER(K120),(ROUNDDOWN(PRODUCT(E120,G120,I120,K120)/1000,0)),"")</f>
        <v/>
      </c>
      <c r="M120" s="300"/>
      <c r="N120" s="301"/>
    </row>
    <row r="121" spans="1:14" s="282" customFormat="1" ht="18.75" customHeight="1">
      <c r="A121" s="600"/>
      <c r="B121" s="601"/>
      <c r="C121" s="601"/>
      <c r="D121" s="324"/>
      <c r="E121" s="303"/>
      <c r="F121" s="325"/>
      <c r="G121" s="305"/>
      <c r="H121" s="326"/>
      <c r="I121" s="305"/>
      <c r="J121" s="326"/>
      <c r="K121" s="307"/>
      <c r="L121" s="214" t="str">
        <f>IF(ISNUMBER(K121),(ROUNDDOWN(PRODUCT(E121,G121,I121,K121)/1000,0)),"")</f>
        <v/>
      </c>
      <c r="M121" s="309"/>
      <c r="N121" s="310"/>
    </row>
    <row r="122" spans="1:14" s="282" customFormat="1" ht="18.75" customHeight="1">
      <c r="A122" s="600"/>
      <c r="B122" s="601"/>
      <c r="C122" s="601"/>
      <c r="D122" s="324"/>
      <c r="E122" s="303"/>
      <c r="F122" s="325"/>
      <c r="G122" s="305"/>
      <c r="H122" s="326"/>
      <c r="I122" s="305"/>
      <c r="J122" s="326"/>
      <c r="K122" s="307"/>
      <c r="L122" s="214" t="str">
        <f>IF(ISNUMBER(K122),(ROUNDDOWN(PRODUCT(E122,G122,I122,K122)/1000,0)),"")</f>
        <v/>
      </c>
      <c r="M122" s="309"/>
      <c r="N122" s="310"/>
    </row>
    <row r="123" spans="1:14" s="282" customFormat="1" ht="18.75" customHeight="1">
      <c r="A123" s="600"/>
      <c r="B123" s="601"/>
      <c r="C123" s="601"/>
      <c r="D123" s="311"/>
      <c r="E123" s="312"/>
      <c r="F123" s="313"/>
      <c r="G123" s="314"/>
      <c r="H123" s="315"/>
      <c r="I123" s="314"/>
      <c r="J123" s="315"/>
      <c r="K123" s="316"/>
      <c r="L123" s="223" t="str">
        <f>IF(ISNUMBER(K123),(ROUNDDOWN(PRODUCT(E123,G123,I123,K123)/1000,0)),"")</f>
        <v/>
      </c>
      <c r="M123" s="318"/>
      <c r="N123" s="319"/>
    </row>
    <row r="124" spans="1:14" s="282" customFormat="1" ht="18.75" customHeight="1">
      <c r="A124" s="600"/>
      <c r="B124" s="601"/>
      <c r="C124" s="601"/>
      <c r="D124" s="602" t="s">
        <v>396</v>
      </c>
      <c r="E124" s="602"/>
      <c r="F124" s="602"/>
      <c r="G124" s="602"/>
      <c r="H124" s="602"/>
      <c r="I124" s="602"/>
      <c r="J124" s="602"/>
      <c r="K124" s="602"/>
      <c r="L124" s="321">
        <f>SUM(L120:L123)</f>
        <v>0</v>
      </c>
      <c r="M124" s="603"/>
      <c r="N124" s="603"/>
    </row>
    <row r="125" spans="1:14" s="282" customFormat="1" ht="22.5" customHeight="1">
      <c r="A125" s="600" t="s">
        <v>442</v>
      </c>
      <c r="B125" s="600"/>
      <c r="C125" s="600"/>
      <c r="D125" s="605"/>
      <c r="E125" s="605"/>
      <c r="F125" s="605"/>
      <c r="G125" s="605"/>
      <c r="H125" s="605"/>
      <c r="I125" s="605"/>
      <c r="J125" s="605"/>
      <c r="K125" s="605"/>
      <c r="L125" s="327"/>
      <c r="M125" s="606"/>
      <c r="N125" s="606"/>
    </row>
    <row r="126" spans="1:14" s="282" customFormat="1" ht="22.5" customHeight="1">
      <c r="A126" s="600" t="s">
        <v>443</v>
      </c>
      <c r="B126" s="600"/>
      <c r="C126" s="600"/>
      <c r="D126" s="600"/>
      <c r="E126" s="600"/>
      <c r="F126" s="600"/>
      <c r="G126" s="600"/>
      <c r="H126" s="600"/>
      <c r="I126" s="600"/>
      <c r="J126" s="600"/>
      <c r="K126" s="600"/>
      <c r="L126" s="323">
        <f>SUM(L90,L94,L98,L102,L106,L110,L114,L119,L124,L125)</f>
        <v>5000</v>
      </c>
      <c r="M126" s="603"/>
      <c r="N126" s="603"/>
    </row>
    <row r="127" spans="1:14" s="282" customFormat="1" ht="18.75" customHeight="1">
      <c r="A127" s="607" t="s">
        <v>444</v>
      </c>
      <c r="B127" s="607"/>
      <c r="C127" s="607"/>
      <c r="D127" s="328"/>
      <c r="E127" s="329"/>
      <c r="F127" s="330"/>
      <c r="G127" s="329"/>
      <c r="H127" s="331"/>
      <c r="I127" s="329"/>
      <c r="J127" s="331"/>
      <c r="K127" s="332"/>
      <c r="L127" s="333" t="str">
        <f>IF(ISNUMBER(K127),(PRODUCT(E127,G127,I127,K127)),"")</f>
        <v/>
      </c>
      <c r="M127" s="334"/>
      <c r="N127" s="335"/>
    </row>
    <row r="128" spans="1:14" s="282" customFormat="1" ht="18.75" customHeight="1">
      <c r="A128" s="607"/>
      <c r="B128" s="607"/>
      <c r="C128" s="607"/>
      <c r="D128" s="336"/>
      <c r="E128" s="305"/>
      <c r="F128" s="325"/>
      <c r="G128" s="305"/>
      <c r="H128" s="326"/>
      <c r="I128" s="305"/>
      <c r="J128" s="326"/>
      <c r="K128" s="337"/>
      <c r="L128" s="308" t="str">
        <f>IF(ISNUMBER(K128),(PRODUCT(E128,G128,I128,K128)),"")</f>
        <v/>
      </c>
      <c r="M128" s="309"/>
      <c r="N128" s="310"/>
    </row>
    <row r="129" spans="1:14" s="282" customFormat="1" ht="18.75" customHeight="1">
      <c r="A129" s="607"/>
      <c r="B129" s="607"/>
      <c r="C129" s="607"/>
      <c r="D129" s="338"/>
      <c r="E129" s="314"/>
      <c r="F129" s="313"/>
      <c r="G129" s="314"/>
      <c r="H129" s="315"/>
      <c r="I129" s="314"/>
      <c r="J129" s="315"/>
      <c r="K129" s="339"/>
      <c r="L129" s="317" t="str">
        <f>IF(ISNUMBER(K129),(PRODUCT(E129,G129,I129,K129)),"")</f>
        <v/>
      </c>
      <c r="M129" s="318"/>
      <c r="N129" s="319"/>
    </row>
    <row r="130" spans="1:14" s="282" customFormat="1" ht="18.75" customHeight="1">
      <c r="A130" s="607"/>
      <c r="B130" s="607"/>
      <c r="C130" s="607"/>
      <c r="D130" s="608" t="s">
        <v>396</v>
      </c>
      <c r="E130" s="608"/>
      <c r="F130" s="608"/>
      <c r="G130" s="608"/>
      <c r="H130" s="608"/>
      <c r="I130" s="608"/>
      <c r="J130" s="608"/>
      <c r="K130" s="608"/>
      <c r="L130" s="340">
        <f>SUM(L127:L129)</f>
        <v>0</v>
      </c>
      <c r="M130" s="609"/>
      <c r="N130" s="609"/>
    </row>
    <row r="131" spans="1:14" s="282" customFormat="1" ht="22.5" customHeight="1">
      <c r="A131" s="610" t="s">
        <v>458</v>
      </c>
      <c r="B131" s="610"/>
      <c r="C131" s="610"/>
      <c r="D131" s="610"/>
      <c r="E131" s="610"/>
      <c r="F131" s="610"/>
      <c r="G131" s="610"/>
      <c r="H131" s="610"/>
      <c r="I131" s="610"/>
      <c r="J131" s="610"/>
      <c r="K131" s="610"/>
      <c r="L131" s="341">
        <f>L126-L130</f>
        <v>5000</v>
      </c>
      <c r="M131" s="611"/>
      <c r="N131" s="611"/>
    </row>
  </sheetData>
  <mergeCells count="96">
    <mergeCell ref="A127:C130"/>
    <mergeCell ref="D130:K130"/>
    <mergeCell ref="M130:N130"/>
    <mergeCell ref="A131:K131"/>
    <mergeCell ref="M131:N131"/>
    <mergeCell ref="A125:C125"/>
    <mergeCell ref="D125:K125"/>
    <mergeCell ref="M125:N125"/>
    <mergeCell ref="A126:K126"/>
    <mergeCell ref="M126:N126"/>
    <mergeCell ref="B115:C119"/>
    <mergeCell ref="D119:K119"/>
    <mergeCell ref="M119:N119"/>
    <mergeCell ref="B120:C124"/>
    <mergeCell ref="D124:K124"/>
    <mergeCell ref="M124:N124"/>
    <mergeCell ref="M106:N106"/>
    <mergeCell ref="B107:C110"/>
    <mergeCell ref="D110:K110"/>
    <mergeCell ref="M110:N110"/>
    <mergeCell ref="B111:C114"/>
    <mergeCell ref="D114:K114"/>
    <mergeCell ref="M114:N114"/>
    <mergeCell ref="A86:A90"/>
    <mergeCell ref="B86:C90"/>
    <mergeCell ref="D90:K90"/>
    <mergeCell ref="M90:N90"/>
    <mergeCell ref="A91:A124"/>
    <mergeCell ref="B91:C94"/>
    <mergeCell ref="D94:K94"/>
    <mergeCell ref="M94:N94"/>
    <mergeCell ref="B95:C98"/>
    <mergeCell ref="D98:K98"/>
    <mergeCell ref="M98:N98"/>
    <mergeCell ref="B99:C102"/>
    <mergeCell ref="D102:K102"/>
    <mergeCell ref="M102:N102"/>
    <mergeCell ref="B103:C106"/>
    <mergeCell ref="D106:K106"/>
    <mergeCell ref="A76:K76"/>
    <mergeCell ref="M76:N76"/>
    <mergeCell ref="A82:B82"/>
    <mergeCell ref="C82:K82"/>
    <mergeCell ref="B85:C85"/>
    <mergeCell ref="E85:F85"/>
    <mergeCell ref="G85:H85"/>
    <mergeCell ref="I85:J85"/>
    <mergeCell ref="A68:K68"/>
    <mergeCell ref="M68:N68"/>
    <mergeCell ref="A69:K69"/>
    <mergeCell ref="M69:N69"/>
    <mergeCell ref="A70:C75"/>
    <mergeCell ref="D75:K75"/>
    <mergeCell ref="M75:N75"/>
    <mergeCell ref="A64:K64"/>
    <mergeCell ref="M64:N67"/>
    <mergeCell ref="A65:G67"/>
    <mergeCell ref="H65:K65"/>
    <mergeCell ref="H66:K66"/>
    <mergeCell ref="H67:K67"/>
    <mergeCell ref="B58:C62"/>
    <mergeCell ref="D62:K62"/>
    <mergeCell ref="M62:N62"/>
    <mergeCell ref="A63:C63"/>
    <mergeCell ref="D63:K63"/>
    <mergeCell ref="M63:N63"/>
    <mergeCell ref="M46:N46"/>
    <mergeCell ref="B47:C51"/>
    <mergeCell ref="D51:K51"/>
    <mergeCell ref="M51:N51"/>
    <mergeCell ref="B52:C57"/>
    <mergeCell ref="D57:K57"/>
    <mergeCell ref="M57:N57"/>
    <mergeCell ref="M18:N18"/>
    <mergeCell ref="A19:A62"/>
    <mergeCell ref="B19:C26"/>
    <mergeCell ref="D26:K26"/>
    <mergeCell ref="M26:N26"/>
    <mergeCell ref="B27:C31"/>
    <mergeCell ref="D31:K31"/>
    <mergeCell ref="M31:N31"/>
    <mergeCell ref="B32:C36"/>
    <mergeCell ref="D36:K36"/>
    <mergeCell ref="M36:N36"/>
    <mergeCell ref="B37:C41"/>
    <mergeCell ref="D41:K41"/>
    <mergeCell ref="M41:N41"/>
    <mergeCell ref="B42:C46"/>
    <mergeCell ref="D46:K46"/>
    <mergeCell ref="B13:C13"/>
    <mergeCell ref="E13:F13"/>
    <mergeCell ref="G13:H13"/>
    <mergeCell ref="I13:J13"/>
    <mergeCell ref="A14:A18"/>
    <mergeCell ref="B14:C18"/>
    <mergeCell ref="D18:K18"/>
  </mergeCells>
  <phoneticPr fontId="77"/>
  <conditionalFormatting sqref="L65:L68">
    <cfRule type="expression" dxfId="3" priority="2">
      <formula>$P$67="2"</formula>
    </cfRule>
    <cfRule type="expression" dxfId="2" priority="3">
      <formula>$P$67="3"</formula>
    </cfRule>
  </conditionalFormatting>
  <dataValidations count="1">
    <dataValidation type="list" allowBlank="1" showInputMessage="1" showErrorMessage="1" sqref="M14:N17 M19:N25 M27:N30 M32:N35 M37:N40 M42:N45 M47:N50 M52:N56 M58:N61 M86:N89 M91:N93 M95:N97 M99:N101 M103:N105 M107:N109 M111:N113 M115:N118 M120:N123 M127:N129" xr:uid="{00000000-0002-0000-0A00-000000000000}">
      <formula1>"○"</formula1>
      <formula2>0</formula2>
    </dataValidation>
  </dataValidations>
  <pageMargins left="0.51180555555555596" right="0.51180555555555596" top="0.55138888888888904" bottom="0.55138888888888904" header="0.511811023622047" footer="0.511811023622047"/>
  <pageSetup paperSize="9" fitToHeight="0" orientation="portrait" horizontalDpi="300" verticalDpi="300"/>
  <rowBreaks count="1" manualBreakCount="1">
    <brk id="57"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pageSetUpPr fitToPage="1"/>
  </sheetPr>
  <dimension ref="A1:Y131"/>
  <sheetViews>
    <sheetView zoomScaleNormal="100" workbookViewId="0">
      <selection activeCell="K74" sqref="K74"/>
    </sheetView>
  </sheetViews>
  <sheetFormatPr defaultColWidth="9" defaultRowHeight="13"/>
  <cols>
    <col min="1" max="1" width="7.5" style="151" customWidth="1"/>
    <col min="2" max="2" width="3.6640625" style="151" customWidth="1"/>
    <col min="3" max="3" width="5.6640625" style="151" customWidth="1"/>
    <col min="4" max="4" width="27.4140625" style="184" customWidth="1"/>
    <col min="5" max="5" width="5.4140625" style="185" customWidth="1"/>
    <col min="6" max="6" width="5.9140625" style="186" customWidth="1"/>
    <col min="7" max="7" width="6.1640625" style="185" customWidth="1"/>
    <col min="8" max="8" width="6.6640625" style="186" customWidth="1"/>
    <col min="9" max="9" width="5.6640625" style="185" customWidth="1"/>
    <col min="10" max="10" width="5.6640625" style="186" customWidth="1"/>
    <col min="11" max="12" width="12.5" style="152" customWidth="1"/>
    <col min="13" max="13" width="5.6640625" style="187" customWidth="1"/>
    <col min="14" max="14" width="7.5" style="187" customWidth="1"/>
    <col min="15" max="15" width="7.4140625" style="151" customWidth="1"/>
    <col min="16" max="16" width="10.6640625" style="151" customWidth="1"/>
    <col min="17" max="17" width="9" style="151"/>
    <col min="18" max="18" width="3.6640625" style="151" customWidth="1"/>
    <col min="19" max="19" width="5.1640625" style="151" customWidth="1"/>
    <col min="20" max="20" width="9" style="151"/>
    <col min="21" max="21" width="3.9140625" style="151" customWidth="1"/>
    <col min="22" max="22" width="5.1640625" style="151" customWidth="1"/>
    <col min="23" max="23" width="9" style="151"/>
    <col min="24" max="24" width="13.1640625" style="151" customWidth="1"/>
    <col min="25" max="16384" width="9" style="151"/>
  </cols>
  <sheetData>
    <row r="1" spans="1:16" ht="17.25" customHeight="1">
      <c r="A1" s="174"/>
      <c r="G1" s="151"/>
      <c r="H1" s="151"/>
      <c r="I1" s="151"/>
      <c r="J1" s="151"/>
      <c r="K1" s="151"/>
      <c r="L1" s="151"/>
      <c r="M1" s="151"/>
      <c r="N1" s="151"/>
    </row>
    <row r="2" spans="1:16" ht="15" customHeight="1">
      <c r="A2" s="153" t="s">
        <v>459</v>
      </c>
      <c r="G2" s="151"/>
      <c r="H2" s="151"/>
      <c r="I2" s="151"/>
      <c r="J2" s="151"/>
      <c r="K2" s="151"/>
      <c r="L2" s="151"/>
      <c r="M2" s="151"/>
      <c r="N2" s="151"/>
    </row>
    <row r="3" spans="1:16" ht="15" customHeight="1">
      <c r="A3" s="153"/>
      <c r="G3" s="151"/>
      <c r="H3" s="151"/>
      <c r="I3" s="151"/>
      <c r="J3" s="151"/>
      <c r="K3" s="151"/>
      <c r="L3" s="151"/>
      <c r="M3" s="151"/>
      <c r="N3" s="151"/>
    </row>
    <row r="4" spans="1:16" s="154" customFormat="1" ht="15.75" customHeight="1">
      <c r="A4" s="157" t="s">
        <v>373</v>
      </c>
      <c r="B4" s="154" t="s">
        <v>460</v>
      </c>
      <c r="D4" s="159"/>
      <c r="F4" s="188"/>
      <c r="H4" s="188"/>
      <c r="K4" s="157"/>
      <c r="L4" s="155"/>
      <c r="M4" s="189"/>
      <c r="N4" s="189"/>
      <c r="O4" s="156"/>
      <c r="P4" s="157"/>
    </row>
    <row r="5" spans="1:16" s="154" customFormat="1" ht="15.75" customHeight="1">
      <c r="A5" s="157" t="s">
        <v>373</v>
      </c>
      <c r="B5" s="154" t="s">
        <v>375</v>
      </c>
      <c r="D5" s="159"/>
      <c r="F5" s="188"/>
      <c r="H5" s="188"/>
      <c r="K5" s="157"/>
      <c r="L5" s="155"/>
      <c r="M5" s="189"/>
      <c r="N5" s="189"/>
      <c r="O5" s="156"/>
      <c r="P5" s="157"/>
    </row>
    <row r="6" spans="1:16" s="154" customFormat="1" ht="15.75" customHeight="1">
      <c r="A6" s="157" t="s">
        <v>373</v>
      </c>
      <c r="B6" s="190"/>
      <c r="C6" s="154" t="s">
        <v>376</v>
      </c>
      <c r="D6" s="159"/>
      <c r="F6" s="188"/>
      <c r="H6" s="188"/>
      <c r="J6" s="188"/>
      <c r="L6" s="156"/>
      <c r="M6" s="191"/>
      <c r="N6" s="191"/>
      <c r="O6" s="156"/>
      <c r="P6" s="157"/>
    </row>
    <row r="7" spans="1:16" s="154" customFormat="1" ht="15.75" customHeight="1">
      <c r="A7" s="157" t="s">
        <v>373</v>
      </c>
      <c r="B7" s="154" t="s">
        <v>377</v>
      </c>
      <c r="C7" s="159"/>
      <c r="E7" s="188"/>
      <c r="G7" s="188"/>
      <c r="I7" s="188"/>
      <c r="J7" s="156"/>
      <c r="K7" s="156"/>
      <c r="M7" s="188"/>
      <c r="N7" s="188"/>
    </row>
    <row r="8" spans="1:16" s="154" customFormat="1" ht="15.75" customHeight="1">
      <c r="A8" s="157" t="s">
        <v>373</v>
      </c>
      <c r="B8" s="154" t="s">
        <v>378</v>
      </c>
      <c r="C8" s="159"/>
      <c r="E8" s="188"/>
      <c r="G8" s="188"/>
      <c r="I8" s="188"/>
      <c r="J8" s="156"/>
      <c r="K8" s="156"/>
      <c r="M8" s="188"/>
      <c r="N8" s="188"/>
    </row>
    <row r="9" spans="1:16" s="154" customFormat="1" ht="15.75" customHeight="1">
      <c r="A9" s="157" t="s">
        <v>373</v>
      </c>
      <c r="B9" s="154" t="s">
        <v>379</v>
      </c>
      <c r="C9" s="159"/>
      <c r="E9" s="188"/>
      <c r="G9" s="188"/>
      <c r="I9" s="188"/>
      <c r="J9" s="156"/>
      <c r="K9" s="156"/>
      <c r="M9" s="188"/>
      <c r="N9" s="188"/>
    </row>
    <row r="10" spans="1:16" s="154" customFormat="1" ht="15.75" customHeight="1">
      <c r="A10" s="157" t="s">
        <v>373</v>
      </c>
      <c r="B10" s="154" t="s">
        <v>380</v>
      </c>
      <c r="C10" s="159"/>
      <c r="E10" s="188"/>
      <c r="G10" s="188"/>
      <c r="I10" s="188"/>
      <c r="J10" s="156"/>
      <c r="K10" s="156"/>
      <c r="M10" s="188"/>
      <c r="N10" s="188"/>
    </row>
    <row r="11" spans="1:16" s="154" customFormat="1" ht="15.75" customHeight="1">
      <c r="A11" s="157" t="s">
        <v>373</v>
      </c>
      <c r="B11" s="154" t="s">
        <v>381</v>
      </c>
      <c r="C11" s="159"/>
      <c r="E11" s="188"/>
      <c r="G11" s="188"/>
      <c r="I11" s="188"/>
      <c r="J11" s="156"/>
      <c r="K11" s="156"/>
      <c r="M11" s="188"/>
      <c r="N11" s="188"/>
    </row>
    <row r="12" spans="1:16" ht="15" customHeight="1">
      <c r="L12" s="164"/>
      <c r="M12" s="164"/>
      <c r="N12" s="192" t="s">
        <v>382</v>
      </c>
    </row>
    <row r="13" spans="1:16" s="168" customFormat="1" ht="30" customHeight="1">
      <c r="A13" s="165" t="s">
        <v>347</v>
      </c>
      <c r="B13" s="573" t="s">
        <v>245</v>
      </c>
      <c r="C13" s="573"/>
      <c r="D13" s="193" t="s">
        <v>383</v>
      </c>
      <c r="E13" s="574" t="s">
        <v>384</v>
      </c>
      <c r="F13" s="574"/>
      <c r="G13" s="573" t="s">
        <v>384</v>
      </c>
      <c r="H13" s="573"/>
      <c r="I13" s="573" t="s">
        <v>384</v>
      </c>
      <c r="J13" s="573"/>
      <c r="K13" s="194" t="s">
        <v>385</v>
      </c>
      <c r="L13" s="195" t="s">
        <v>386</v>
      </c>
      <c r="M13" s="196" t="s">
        <v>387</v>
      </c>
      <c r="N13" s="167" t="s">
        <v>388</v>
      </c>
    </row>
    <row r="14" spans="1:16" ht="18.75" customHeight="1">
      <c r="A14" s="575" t="s">
        <v>349</v>
      </c>
      <c r="B14" s="576" t="s">
        <v>350</v>
      </c>
      <c r="C14" s="576"/>
      <c r="D14" s="197" t="s">
        <v>389</v>
      </c>
      <c r="E14" s="198">
        <v>1</v>
      </c>
      <c r="F14" s="199" t="s">
        <v>390</v>
      </c>
      <c r="G14" s="200">
        <v>12</v>
      </c>
      <c r="H14" s="201" t="s">
        <v>391</v>
      </c>
      <c r="I14" s="202">
        <v>1</v>
      </c>
      <c r="J14" s="201" t="s">
        <v>392</v>
      </c>
      <c r="K14" s="203">
        <v>750000</v>
      </c>
      <c r="L14" s="204">
        <f>IF(ISNUMBER(K14),(ROUNDDOWN(PRODUCT(E14,G14,I14,K14)/1000,0)),"")</f>
        <v>9000</v>
      </c>
      <c r="M14" s="205"/>
      <c r="N14" s="206" t="s">
        <v>393</v>
      </c>
    </row>
    <row r="15" spans="1:16" ht="18.75" customHeight="1">
      <c r="A15" s="575"/>
      <c r="B15" s="576"/>
      <c r="C15" s="576"/>
      <c r="D15" s="207" t="s">
        <v>394</v>
      </c>
      <c r="E15" s="208">
        <v>1</v>
      </c>
      <c r="F15" s="209" t="s">
        <v>390</v>
      </c>
      <c r="G15" s="210">
        <v>12</v>
      </c>
      <c r="H15" s="211" t="s">
        <v>391</v>
      </c>
      <c r="I15" s="212">
        <v>1</v>
      </c>
      <c r="J15" s="211" t="s">
        <v>392</v>
      </c>
      <c r="K15" s="213">
        <v>500000</v>
      </c>
      <c r="L15" s="214">
        <f>IF(ISNUMBER(K15),(ROUNDDOWN(PRODUCT(E15,G15,I15,K15)/1000,0)),"")</f>
        <v>6000</v>
      </c>
      <c r="M15" s="215"/>
      <c r="N15" s="216" t="s">
        <v>393</v>
      </c>
    </row>
    <row r="16" spans="1:16" ht="18.75" customHeight="1">
      <c r="A16" s="575"/>
      <c r="B16" s="576"/>
      <c r="C16" s="576"/>
      <c r="D16" s="207" t="s">
        <v>395</v>
      </c>
      <c r="E16" s="208">
        <v>2</v>
      </c>
      <c r="F16" s="209" t="s">
        <v>390</v>
      </c>
      <c r="G16" s="210">
        <v>12</v>
      </c>
      <c r="H16" s="211" t="s">
        <v>391</v>
      </c>
      <c r="I16" s="212">
        <v>1</v>
      </c>
      <c r="J16" s="211" t="s">
        <v>392</v>
      </c>
      <c r="K16" s="213">
        <v>208333</v>
      </c>
      <c r="L16" s="214">
        <f>IF(ISNUMBER(K16),(ROUNDDOWN(PRODUCT(E16,G16,I16,K16)/1000,0)),"")</f>
        <v>4999</v>
      </c>
      <c r="M16" s="215"/>
      <c r="N16" s="216" t="s">
        <v>393</v>
      </c>
    </row>
    <row r="17" spans="1:23" ht="18.75" customHeight="1">
      <c r="A17" s="575"/>
      <c r="B17" s="576"/>
      <c r="C17" s="576"/>
      <c r="D17" s="217"/>
      <c r="E17" s="218"/>
      <c r="F17" s="219"/>
      <c r="G17" s="220"/>
      <c r="H17" s="221"/>
      <c r="I17" s="220"/>
      <c r="J17" s="221"/>
      <c r="K17" s="222"/>
      <c r="L17" s="223" t="str">
        <f>IF(ISNUMBER(K17),(ROUNDDOWN(PRODUCT(E17,G17,I17,K17)/1000,0)),"")</f>
        <v/>
      </c>
      <c r="M17" s="224"/>
      <c r="N17" s="225"/>
    </row>
    <row r="18" spans="1:23" ht="18.75" customHeight="1">
      <c r="A18" s="575"/>
      <c r="B18" s="576"/>
      <c r="C18" s="576"/>
      <c r="D18" s="577" t="s">
        <v>396</v>
      </c>
      <c r="E18" s="577"/>
      <c r="F18" s="577"/>
      <c r="G18" s="577"/>
      <c r="H18" s="577"/>
      <c r="I18" s="577"/>
      <c r="J18" s="577"/>
      <c r="K18" s="577"/>
      <c r="L18" s="226">
        <f>SUM(L14:L17)</f>
        <v>19999</v>
      </c>
      <c r="M18" s="578"/>
      <c r="N18" s="578"/>
      <c r="P18" s="192" t="s">
        <v>397</v>
      </c>
      <c r="Q18" s="227">
        <f>SUMIF(N14:N17,"○",L14:L17)</f>
        <v>19999</v>
      </c>
      <c r="R18" s="228"/>
      <c r="S18" s="192" t="s">
        <v>398</v>
      </c>
      <c r="T18" s="227">
        <f>SUMIF(M14:M17,"○",L14:L17)</f>
        <v>0</v>
      </c>
      <c r="U18" s="228"/>
      <c r="V18" s="192" t="s">
        <v>399</v>
      </c>
      <c r="W18" s="227">
        <f>$L$18-$Q$18-$T$18</f>
        <v>0</v>
      </c>
    </row>
    <row r="19" spans="1:23" ht="18.75" customHeight="1">
      <c r="A19" s="572" t="s">
        <v>351</v>
      </c>
      <c r="B19" s="576" t="s">
        <v>352</v>
      </c>
      <c r="C19" s="576"/>
      <c r="D19" s="197" t="s">
        <v>400</v>
      </c>
      <c r="E19" s="198">
        <v>5</v>
      </c>
      <c r="F19" s="199" t="s">
        <v>401</v>
      </c>
      <c r="G19" s="202">
        <v>1</v>
      </c>
      <c r="H19" s="201" t="s">
        <v>390</v>
      </c>
      <c r="I19" s="202">
        <v>1</v>
      </c>
      <c r="J19" s="201" t="s">
        <v>402</v>
      </c>
      <c r="K19" s="203">
        <v>100000</v>
      </c>
      <c r="L19" s="204">
        <f t="shared" ref="L19:L25" si="0">IF(ISNUMBER(K19),(ROUNDDOWN(PRODUCT(E19,G19,I19,K19)/1000,0)),"")</f>
        <v>500</v>
      </c>
      <c r="M19" s="205"/>
      <c r="N19" s="206" t="s">
        <v>393</v>
      </c>
    </row>
    <row r="20" spans="1:23" ht="18.75" customHeight="1">
      <c r="A20" s="572"/>
      <c r="B20" s="576"/>
      <c r="C20" s="576"/>
      <c r="D20" s="207" t="s">
        <v>403</v>
      </c>
      <c r="E20" s="208">
        <v>2</v>
      </c>
      <c r="F20" s="209" t="s">
        <v>390</v>
      </c>
      <c r="G20" s="212">
        <v>1</v>
      </c>
      <c r="H20" s="211" t="s">
        <v>401</v>
      </c>
      <c r="I20" s="212">
        <v>1</v>
      </c>
      <c r="J20" s="211" t="s">
        <v>402</v>
      </c>
      <c r="K20" s="213">
        <v>300000</v>
      </c>
      <c r="L20" s="214">
        <f t="shared" si="0"/>
        <v>600</v>
      </c>
      <c r="M20" s="215"/>
      <c r="N20" s="216" t="s">
        <v>393</v>
      </c>
    </row>
    <row r="21" spans="1:23" ht="18.75" customHeight="1">
      <c r="A21" s="572"/>
      <c r="B21" s="576"/>
      <c r="C21" s="576"/>
      <c r="D21" s="207" t="s">
        <v>404</v>
      </c>
      <c r="E21" s="208">
        <v>6</v>
      </c>
      <c r="F21" s="209" t="s">
        <v>401</v>
      </c>
      <c r="G21" s="212">
        <v>1</v>
      </c>
      <c r="H21" s="211" t="s">
        <v>390</v>
      </c>
      <c r="I21" s="212">
        <v>1</v>
      </c>
      <c r="J21" s="211" t="s">
        <v>402</v>
      </c>
      <c r="K21" s="213">
        <v>95000</v>
      </c>
      <c r="L21" s="214">
        <f t="shared" si="0"/>
        <v>570</v>
      </c>
      <c r="M21" s="215"/>
      <c r="N21" s="216" t="s">
        <v>393</v>
      </c>
    </row>
    <row r="22" spans="1:23" ht="18.75" customHeight="1">
      <c r="A22" s="572"/>
      <c r="B22" s="576"/>
      <c r="C22" s="576"/>
      <c r="D22" s="229" t="s">
        <v>448</v>
      </c>
      <c r="E22" s="230">
        <v>20</v>
      </c>
      <c r="F22" s="231" t="s">
        <v>401</v>
      </c>
      <c r="G22" s="232">
        <v>1</v>
      </c>
      <c r="H22" s="233" t="s">
        <v>410</v>
      </c>
      <c r="I22" s="232">
        <v>1</v>
      </c>
      <c r="J22" s="233" t="s">
        <v>410</v>
      </c>
      <c r="K22" s="234">
        <v>25000</v>
      </c>
      <c r="L22" s="214">
        <f t="shared" si="0"/>
        <v>500</v>
      </c>
      <c r="M22" s="238"/>
      <c r="N22" s="239"/>
    </row>
    <row r="23" spans="1:23" ht="18.75" customHeight="1">
      <c r="A23" s="572"/>
      <c r="B23" s="576"/>
      <c r="C23" s="576"/>
      <c r="D23" s="250" t="s">
        <v>449</v>
      </c>
      <c r="E23" s="251">
        <v>20</v>
      </c>
      <c r="F23" s="252" t="s">
        <v>401</v>
      </c>
      <c r="G23" s="253">
        <v>1</v>
      </c>
      <c r="H23" s="254" t="s">
        <v>410</v>
      </c>
      <c r="I23" s="253">
        <v>1</v>
      </c>
      <c r="J23" s="254" t="s">
        <v>410</v>
      </c>
      <c r="K23" s="342">
        <v>25000</v>
      </c>
      <c r="L23" s="214">
        <f t="shared" si="0"/>
        <v>500</v>
      </c>
      <c r="M23" s="246"/>
      <c r="N23" s="257"/>
    </row>
    <row r="24" spans="1:23" ht="18.75" customHeight="1">
      <c r="A24" s="572"/>
      <c r="B24" s="576"/>
      <c r="C24" s="576"/>
      <c r="D24" s="250" t="s">
        <v>450</v>
      </c>
      <c r="E24" s="251">
        <v>20</v>
      </c>
      <c r="F24" s="252" t="s">
        <v>401</v>
      </c>
      <c r="G24" s="253">
        <v>1</v>
      </c>
      <c r="H24" s="254" t="s">
        <v>410</v>
      </c>
      <c r="I24" s="253">
        <v>1</v>
      </c>
      <c r="J24" s="254" t="s">
        <v>410</v>
      </c>
      <c r="K24" s="342">
        <v>25000</v>
      </c>
      <c r="L24" s="214">
        <f t="shared" si="0"/>
        <v>500</v>
      </c>
      <c r="M24" s="246"/>
      <c r="N24" s="257"/>
    </row>
    <row r="25" spans="1:23" ht="18.75" customHeight="1">
      <c r="A25" s="572"/>
      <c r="B25" s="576"/>
      <c r="C25" s="576"/>
      <c r="D25" s="250" t="s">
        <v>451</v>
      </c>
      <c r="E25" s="251">
        <v>5</v>
      </c>
      <c r="F25" s="252" t="s">
        <v>401</v>
      </c>
      <c r="G25" s="253">
        <v>1</v>
      </c>
      <c r="H25" s="254" t="s">
        <v>410</v>
      </c>
      <c r="I25" s="253">
        <v>1</v>
      </c>
      <c r="J25" s="254" t="s">
        <v>410</v>
      </c>
      <c r="K25" s="342">
        <v>50000</v>
      </c>
      <c r="L25" s="223">
        <f t="shared" si="0"/>
        <v>250</v>
      </c>
      <c r="M25" s="246"/>
      <c r="N25" s="257"/>
    </row>
    <row r="26" spans="1:23" ht="18.75" customHeight="1">
      <c r="A26" s="572"/>
      <c r="B26" s="576"/>
      <c r="C26" s="576"/>
      <c r="D26" s="577" t="s">
        <v>396</v>
      </c>
      <c r="E26" s="577"/>
      <c r="F26" s="577"/>
      <c r="G26" s="577"/>
      <c r="H26" s="577"/>
      <c r="I26" s="577"/>
      <c r="J26" s="577"/>
      <c r="K26" s="577"/>
      <c r="L26" s="172">
        <f>SUM(L19:L25)</f>
        <v>3420</v>
      </c>
      <c r="M26" s="578"/>
      <c r="N26" s="578"/>
      <c r="P26" s="192" t="s">
        <v>397</v>
      </c>
      <c r="Q26" s="227">
        <f>SUMIF(N19:N22,"○",L19:L22)</f>
        <v>1670</v>
      </c>
      <c r="R26" s="228"/>
      <c r="S26" s="192" t="s">
        <v>398</v>
      </c>
      <c r="T26" s="227">
        <f>SUMIF(M19:M22,"○",L19:L22)</f>
        <v>0</v>
      </c>
      <c r="U26" s="228"/>
      <c r="V26" s="192" t="s">
        <v>399</v>
      </c>
      <c r="W26" s="227">
        <f>$L$26-$Q$26-$T$26</f>
        <v>1750</v>
      </c>
    </row>
    <row r="27" spans="1:23" ht="18.75" customHeight="1">
      <c r="A27" s="572"/>
      <c r="B27" s="576" t="s">
        <v>353</v>
      </c>
      <c r="C27" s="576"/>
      <c r="D27" s="197" t="s">
        <v>409</v>
      </c>
      <c r="E27" s="198">
        <v>4</v>
      </c>
      <c r="F27" s="199" t="s">
        <v>401</v>
      </c>
      <c r="G27" s="202">
        <v>1</v>
      </c>
      <c r="H27" s="201" t="s">
        <v>390</v>
      </c>
      <c r="I27" s="202">
        <v>1</v>
      </c>
      <c r="J27" s="201" t="s">
        <v>410</v>
      </c>
      <c r="K27" s="203">
        <v>200000</v>
      </c>
      <c r="L27" s="204">
        <f>IF(ISNUMBER(K27),(ROUNDDOWN(PRODUCT(E27,G27,I27,K27)/1000,0)),"")</f>
        <v>800</v>
      </c>
      <c r="M27" s="205"/>
      <c r="N27" s="206"/>
    </row>
    <row r="28" spans="1:23" ht="18.75" customHeight="1">
      <c r="A28" s="572"/>
      <c r="B28" s="576"/>
      <c r="C28" s="576"/>
      <c r="D28" s="240"/>
      <c r="E28" s="208"/>
      <c r="F28" s="209"/>
      <c r="G28" s="212"/>
      <c r="H28" s="211"/>
      <c r="I28" s="212"/>
      <c r="J28" s="211"/>
      <c r="K28" s="213"/>
      <c r="L28" s="214" t="str">
        <f>IF(ISNUMBER(K28),(ROUNDDOWN(PRODUCT(E28,G28,I28,K28)/1000,0)),"")</f>
        <v/>
      </c>
      <c r="M28" s="215"/>
      <c r="N28" s="216"/>
    </row>
    <row r="29" spans="1:23" ht="18.75" customHeight="1">
      <c r="A29" s="572"/>
      <c r="B29" s="576"/>
      <c r="C29" s="576"/>
      <c r="D29" s="244" t="s">
        <v>461</v>
      </c>
      <c r="E29" s="208">
        <v>1</v>
      </c>
      <c r="F29" s="209" t="s">
        <v>390</v>
      </c>
      <c r="G29" s="212">
        <v>1</v>
      </c>
      <c r="H29" s="211" t="s">
        <v>410</v>
      </c>
      <c r="I29" s="212">
        <v>1</v>
      </c>
      <c r="J29" s="211" t="s">
        <v>410</v>
      </c>
      <c r="K29" s="213">
        <v>600000</v>
      </c>
      <c r="L29" s="214">
        <f>IF(ISNUMBER(K29),(ROUNDDOWN(PRODUCT(E29,G29,I29,K29)/1000,0)),"")</f>
        <v>600</v>
      </c>
      <c r="M29" s="215"/>
      <c r="N29" s="216"/>
    </row>
    <row r="30" spans="1:23" ht="18.75" customHeight="1">
      <c r="A30" s="572"/>
      <c r="B30" s="576"/>
      <c r="C30" s="576"/>
      <c r="D30" s="244" t="s">
        <v>462</v>
      </c>
      <c r="E30" s="208">
        <v>1</v>
      </c>
      <c r="F30" s="209" t="s">
        <v>390</v>
      </c>
      <c r="G30" s="212">
        <v>1</v>
      </c>
      <c r="H30" s="211" t="s">
        <v>410</v>
      </c>
      <c r="I30" s="212">
        <v>1</v>
      </c>
      <c r="J30" s="211" t="s">
        <v>410</v>
      </c>
      <c r="K30" s="213">
        <v>600000</v>
      </c>
      <c r="L30" s="223">
        <f>IF(ISNUMBER(K30),(ROUNDDOWN(PRODUCT(E30,G30,I30,K30)/1000,0)),"")</f>
        <v>600</v>
      </c>
      <c r="M30" s="215"/>
      <c r="N30" s="216"/>
    </row>
    <row r="31" spans="1:23" ht="18.75" customHeight="1">
      <c r="A31" s="572"/>
      <c r="B31" s="576"/>
      <c r="C31" s="576"/>
      <c r="D31" s="577" t="s">
        <v>396</v>
      </c>
      <c r="E31" s="577"/>
      <c r="F31" s="577"/>
      <c r="G31" s="577"/>
      <c r="H31" s="577"/>
      <c r="I31" s="577"/>
      <c r="J31" s="577"/>
      <c r="K31" s="577"/>
      <c r="L31" s="241">
        <f>SUM(L27:L30)</f>
        <v>2000</v>
      </c>
      <c r="M31" s="578"/>
      <c r="N31" s="578"/>
      <c r="P31" s="192" t="s">
        <v>397</v>
      </c>
      <c r="Q31" s="227">
        <f>SUMIF(N27:N30,"○",L27:L30)</f>
        <v>0</v>
      </c>
      <c r="R31" s="228"/>
      <c r="S31" s="192" t="s">
        <v>398</v>
      </c>
      <c r="T31" s="227">
        <f>SUMIF(M27:M30,"○",L27:L30)</f>
        <v>0</v>
      </c>
      <c r="U31" s="228"/>
      <c r="V31" s="192" t="s">
        <v>399</v>
      </c>
      <c r="W31" s="227">
        <f>$L$31-$Q$31-$T$31</f>
        <v>2000</v>
      </c>
    </row>
    <row r="32" spans="1:23" ht="18.75" customHeight="1">
      <c r="A32" s="572"/>
      <c r="B32" s="576" t="s">
        <v>354</v>
      </c>
      <c r="C32" s="576"/>
      <c r="D32" s="242" t="s">
        <v>413</v>
      </c>
      <c r="E32" s="198">
        <v>200</v>
      </c>
      <c r="F32" s="199" t="s">
        <v>390</v>
      </c>
      <c r="G32" s="202">
        <v>12</v>
      </c>
      <c r="H32" s="201" t="s">
        <v>391</v>
      </c>
      <c r="I32" s="202">
        <v>1</v>
      </c>
      <c r="J32" s="201" t="s">
        <v>392</v>
      </c>
      <c r="K32" s="243">
        <v>8500</v>
      </c>
      <c r="L32" s="204">
        <f>IF(ISNUMBER(K32),(ROUNDDOWN(PRODUCT(E32,G32,I32,K32)/1000,0)),"")</f>
        <v>20400</v>
      </c>
      <c r="M32" s="205"/>
      <c r="N32" s="206"/>
    </row>
    <row r="33" spans="1:23" ht="18.75" customHeight="1">
      <c r="A33" s="572"/>
      <c r="B33" s="576"/>
      <c r="C33" s="576"/>
      <c r="D33" s="244" t="s">
        <v>414</v>
      </c>
      <c r="E33" s="208">
        <v>120</v>
      </c>
      <c r="F33" s="209" t="s">
        <v>390</v>
      </c>
      <c r="G33" s="212">
        <v>12</v>
      </c>
      <c r="H33" s="211" t="s">
        <v>391</v>
      </c>
      <c r="I33" s="212">
        <v>1</v>
      </c>
      <c r="J33" s="211" t="s">
        <v>392</v>
      </c>
      <c r="K33" s="245">
        <v>8500</v>
      </c>
      <c r="L33" s="214">
        <f>IF(ISNUMBER(K33),(ROUNDDOWN(PRODUCT(E33,G33,I33,K33)/1000,0)),"")</f>
        <v>12240</v>
      </c>
      <c r="M33" s="215"/>
      <c r="N33" s="216"/>
    </row>
    <row r="34" spans="1:23" ht="18.75" customHeight="1">
      <c r="A34" s="572"/>
      <c r="B34" s="576"/>
      <c r="C34" s="576"/>
      <c r="D34" s="244" t="s">
        <v>415</v>
      </c>
      <c r="E34" s="208">
        <v>20</v>
      </c>
      <c r="F34" s="209" t="s">
        <v>390</v>
      </c>
      <c r="G34" s="212">
        <v>12</v>
      </c>
      <c r="H34" s="211" t="s">
        <v>391</v>
      </c>
      <c r="I34" s="212">
        <v>1</v>
      </c>
      <c r="J34" s="211" t="s">
        <v>392</v>
      </c>
      <c r="K34" s="245">
        <v>8500</v>
      </c>
      <c r="L34" s="214">
        <f>IF(ISNUMBER(K34),(ROUNDDOWN(PRODUCT(E34,G34,I34,K34)/1000,0)),"")</f>
        <v>2040</v>
      </c>
      <c r="M34" s="215"/>
      <c r="N34" s="216"/>
    </row>
    <row r="35" spans="1:23" ht="18.75" customHeight="1">
      <c r="A35" s="572"/>
      <c r="B35" s="576"/>
      <c r="C35" s="576"/>
      <c r="D35" s="229"/>
      <c r="E35" s="230"/>
      <c r="F35" s="231" t="s">
        <v>410</v>
      </c>
      <c r="G35" s="232"/>
      <c r="H35" s="233" t="s">
        <v>391</v>
      </c>
      <c r="I35" s="232">
        <v>1</v>
      </c>
      <c r="J35" s="233" t="s">
        <v>392</v>
      </c>
      <c r="K35" s="234"/>
      <c r="L35" s="223" t="str">
        <f>IF(ISNUMBER(K35),(ROUNDDOWN(PRODUCT(E35,G35,I35,K35)/1000,0)),"")</f>
        <v/>
      </c>
      <c r="M35" s="236"/>
      <c r="N35" s="237"/>
    </row>
    <row r="36" spans="1:23" ht="18.75" customHeight="1">
      <c r="A36" s="572"/>
      <c r="B36" s="576"/>
      <c r="C36" s="576"/>
      <c r="D36" s="577" t="s">
        <v>396</v>
      </c>
      <c r="E36" s="577"/>
      <c r="F36" s="577"/>
      <c r="G36" s="577"/>
      <c r="H36" s="577"/>
      <c r="I36" s="577"/>
      <c r="J36" s="577"/>
      <c r="K36" s="577"/>
      <c r="L36" s="241">
        <f>SUM(L32:L35)</f>
        <v>34680</v>
      </c>
      <c r="M36" s="578"/>
      <c r="N36" s="578"/>
      <c r="P36" s="192" t="s">
        <v>397</v>
      </c>
      <c r="Q36" s="227">
        <f>SUMIF(N32:N35,"○",L32:L35)</f>
        <v>0</v>
      </c>
      <c r="R36" s="228"/>
      <c r="S36" s="192" t="s">
        <v>398</v>
      </c>
      <c r="T36" s="227">
        <f>SUMIF(M32:M35,"○",L32:L35)</f>
        <v>0</v>
      </c>
      <c r="U36" s="228"/>
      <c r="V36" s="192" t="s">
        <v>399</v>
      </c>
      <c r="W36" s="227">
        <f>$L$36-$Q$36-$T$36</f>
        <v>34680</v>
      </c>
    </row>
    <row r="37" spans="1:23" ht="18.75" customHeight="1">
      <c r="A37" s="572"/>
      <c r="B37" s="576" t="s">
        <v>355</v>
      </c>
      <c r="C37" s="576"/>
      <c r="D37" s="242" t="s">
        <v>416</v>
      </c>
      <c r="E37" s="198">
        <v>30</v>
      </c>
      <c r="F37" s="201" t="s">
        <v>417</v>
      </c>
      <c r="G37" s="202">
        <v>1</v>
      </c>
      <c r="H37" s="201" t="s">
        <v>410</v>
      </c>
      <c r="I37" s="202">
        <v>1</v>
      </c>
      <c r="J37" s="201" t="s">
        <v>392</v>
      </c>
      <c r="K37" s="203">
        <v>10000</v>
      </c>
      <c r="L37" s="204">
        <f>IF(ISNUMBER(K37),(ROUNDDOWN(PRODUCT(E37,G37,I37,K37)/1000,0)),"")</f>
        <v>300</v>
      </c>
      <c r="M37" s="205"/>
      <c r="N37" s="206"/>
    </row>
    <row r="38" spans="1:23" ht="18.75" customHeight="1">
      <c r="A38" s="572"/>
      <c r="B38" s="576"/>
      <c r="C38" s="576"/>
      <c r="D38" s="207" t="s">
        <v>418</v>
      </c>
      <c r="E38" s="208">
        <v>1</v>
      </c>
      <c r="F38" s="209" t="s">
        <v>410</v>
      </c>
      <c r="G38" s="212">
        <v>1</v>
      </c>
      <c r="H38" s="211" t="s">
        <v>410</v>
      </c>
      <c r="I38" s="212">
        <v>1</v>
      </c>
      <c r="J38" s="211" t="s">
        <v>392</v>
      </c>
      <c r="K38" s="213">
        <v>150000</v>
      </c>
      <c r="L38" s="214">
        <f>IF(ISNUMBER(K38),(ROUNDDOWN(PRODUCT(E38,G38,I38,K38)/1000,0)),"")</f>
        <v>150</v>
      </c>
      <c r="M38" s="215"/>
      <c r="N38" s="216"/>
    </row>
    <row r="39" spans="1:23" ht="18.75" customHeight="1">
      <c r="A39" s="572"/>
      <c r="B39" s="576"/>
      <c r="C39" s="576"/>
      <c r="D39" s="244"/>
      <c r="E39" s="208"/>
      <c r="F39" s="209"/>
      <c r="G39" s="212"/>
      <c r="H39" s="211"/>
      <c r="I39" s="212"/>
      <c r="J39" s="211"/>
      <c r="K39" s="213"/>
      <c r="L39" s="214" t="str">
        <f>IF(ISNUMBER(K39),(ROUNDDOWN(PRODUCT(E39,G39,I39,K39)/1000,0)),"")</f>
        <v/>
      </c>
      <c r="M39" s="215"/>
      <c r="N39" s="216"/>
    </row>
    <row r="40" spans="1:23" ht="18.75" customHeight="1">
      <c r="A40" s="572"/>
      <c r="B40" s="576"/>
      <c r="C40" s="576"/>
      <c r="D40" s="244"/>
      <c r="E40" s="208"/>
      <c r="F40" s="209"/>
      <c r="G40" s="212"/>
      <c r="H40" s="211"/>
      <c r="I40" s="212"/>
      <c r="J40" s="211"/>
      <c r="K40" s="213"/>
      <c r="L40" s="223" t="str">
        <f>IF(ISNUMBER(K40),(ROUNDDOWN(PRODUCT(E40,G40,I40,K40)/1000,0)),"")</f>
        <v/>
      </c>
      <c r="M40" s="215"/>
      <c r="N40" s="216"/>
    </row>
    <row r="41" spans="1:23" ht="18.75" customHeight="1">
      <c r="A41" s="572"/>
      <c r="B41" s="576"/>
      <c r="C41" s="576"/>
      <c r="D41" s="577" t="s">
        <v>396</v>
      </c>
      <c r="E41" s="577"/>
      <c r="F41" s="577"/>
      <c r="G41" s="577"/>
      <c r="H41" s="577"/>
      <c r="I41" s="577"/>
      <c r="J41" s="577"/>
      <c r="K41" s="577"/>
      <c r="L41" s="172">
        <f>SUM(L37:L40)</f>
        <v>450</v>
      </c>
      <c r="M41" s="578"/>
      <c r="N41" s="578"/>
      <c r="P41" s="192" t="s">
        <v>397</v>
      </c>
      <c r="Q41" s="227">
        <f>SUMIF(N37:N40,"○",L37:L40)</f>
        <v>0</v>
      </c>
      <c r="R41" s="228"/>
      <c r="S41" s="192" t="s">
        <v>398</v>
      </c>
      <c r="T41" s="227">
        <f>SUMIF(M37:M40,"○",L37:L40)</f>
        <v>0</v>
      </c>
      <c r="U41" s="228"/>
      <c r="V41" s="192" t="s">
        <v>399</v>
      </c>
      <c r="W41" s="227">
        <f>$L$41-$Q$41-$T$41</f>
        <v>450</v>
      </c>
    </row>
    <row r="42" spans="1:23" ht="18.75" customHeight="1">
      <c r="A42" s="572"/>
      <c r="B42" s="576" t="s">
        <v>356</v>
      </c>
      <c r="C42" s="576"/>
      <c r="D42" s="197" t="s">
        <v>419</v>
      </c>
      <c r="E42" s="185">
        <v>4</v>
      </c>
      <c r="F42" s="199" t="s">
        <v>401</v>
      </c>
      <c r="G42" s="202">
        <v>1</v>
      </c>
      <c r="H42" s="201" t="s">
        <v>402</v>
      </c>
      <c r="I42" s="202">
        <v>1</v>
      </c>
      <c r="J42" s="201" t="s">
        <v>410</v>
      </c>
      <c r="K42" s="203">
        <v>120000</v>
      </c>
      <c r="L42" s="204">
        <f>IF(ISNUMBER(K42),(ROUNDDOWN(PRODUCT(E42,G42,I42,K42)/1000,0)),"")</f>
        <v>480</v>
      </c>
      <c r="M42" s="205"/>
      <c r="N42" s="206"/>
    </row>
    <row r="43" spans="1:23" ht="18.75" customHeight="1">
      <c r="A43" s="572"/>
      <c r="B43" s="576"/>
      <c r="C43" s="576"/>
      <c r="D43" s="207" t="s">
        <v>420</v>
      </c>
      <c r="E43" s="208">
        <v>1</v>
      </c>
      <c r="F43" s="209" t="s">
        <v>410</v>
      </c>
      <c r="G43" s="212">
        <v>1</v>
      </c>
      <c r="H43" s="211" t="s">
        <v>401</v>
      </c>
      <c r="I43" s="212">
        <v>1</v>
      </c>
      <c r="J43" s="211" t="s">
        <v>410</v>
      </c>
      <c r="K43" s="213">
        <v>350000</v>
      </c>
      <c r="L43" s="214">
        <f>IF(ISNUMBER(K43),(ROUNDDOWN(PRODUCT(E43,G43,I43,K43)/1000,0)),"")</f>
        <v>350</v>
      </c>
      <c r="M43" s="215"/>
      <c r="N43" s="216"/>
    </row>
    <row r="44" spans="1:23" ht="18.75" customHeight="1">
      <c r="A44" s="572"/>
      <c r="B44" s="576"/>
      <c r="C44" s="576"/>
      <c r="D44" s="207" t="s">
        <v>463</v>
      </c>
      <c r="E44" s="208">
        <v>1</v>
      </c>
      <c r="F44" s="209" t="s">
        <v>401</v>
      </c>
      <c r="G44" s="212">
        <v>1</v>
      </c>
      <c r="H44" s="211" t="s">
        <v>410</v>
      </c>
      <c r="I44" s="212">
        <v>1</v>
      </c>
      <c r="J44" s="211" t="s">
        <v>410</v>
      </c>
      <c r="K44" s="213">
        <v>300000</v>
      </c>
      <c r="L44" s="214">
        <f>IF(ISNUMBER(K44),(ROUNDDOWN(PRODUCT(E44,G44,I44,K44)/1000,0)),"")</f>
        <v>300</v>
      </c>
      <c r="M44" s="215"/>
      <c r="N44" s="216"/>
    </row>
    <row r="45" spans="1:23" ht="18.75" customHeight="1">
      <c r="A45" s="572"/>
      <c r="B45" s="576"/>
      <c r="C45" s="576"/>
      <c r="D45" s="244"/>
      <c r="E45" s="208"/>
      <c r="F45" s="209"/>
      <c r="G45" s="212"/>
      <c r="H45" s="211"/>
      <c r="I45" s="212"/>
      <c r="J45" s="211"/>
      <c r="K45" s="213"/>
      <c r="L45" s="223" t="str">
        <f>IF(ISNUMBER(K45),(ROUNDDOWN(PRODUCT(E45,G45,I45,K45)/1000,0)),"")</f>
        <v/>
      </c>
      <c r="M45" s="215"/>
      <c r="N45" s="216"/>
    </row>
    <row r="46" spans="1:23" ht="18.75" customHeight="1">
      <c r="A46" s="572"/>
      <c r="B46" s="576"/>
      <c r="C46" s="576"/>
      <c r="D46" s="577" t="s">
        <v>396</v>
      </c>
      <c r="E46" s="577"/>
      <c r="F46" s="577"/>
      <c r="G46" s="577"/>
      <c r="H46" s="577"/>
      <c r="I46" s="577"/>
      <c r="J46" s="577"/>
      <c r="K46" s="577"/>
      <c r="L46" s="241">
        <f>SUM(L42:L45)</f>
        <v>1130</v>
      </c>
      <c r="M46" s="578"/>
      <c r="N46" s="578"/>
      <c r="P46" s="192" t="s">
        <v>397</v>
      </c>
      <c r="Q46" s="227">
        <f>SUMIF(N42:N45,"○",L42:L45)</f>
        <v>0</v>
      </c>
      <c r="R46" s="228"/>
      <c r="S46" s="192" t="s">
        <v>398</v>
      </c>
      <c r="T46" s="227">
        <f>SUMIF(M42:M45,"○",L42:L45)</f>
        <v>0</v>
      </c>
      <c r="U46" s="228"/>
      <c r="V46" s="192" t="s">
        <v>399</v>
      </c>
      <c r="W46" s="227">
        <f>$L$46-$Q$46-$T$46</f>
        <v>1130</v>
      </c>
    </row>
    <row r="47" spans="1:23" ht="18.75" customHeight="1">
      <c r="A47" s="572"/>
      <c r="B47" s="579" t="s">
        <v>357</v>
      </c>
      <c r="C47" s="579"/>
      <c r="D47" s="207" t="s">
        <v>422</v>
      </c>
      <c r="E47" s="208">
        <v>1</v>
      </c>
      <c r="F47" s="209" t="s">
        <v>410</v>
      </c>
      <c r="G47" s="212">
        <v>12</v>
      </c>
      <c r="H47" s="211" t="s">
        <v>391</v>
      </c>
      <c r="I47" s="212">
        <v>1</v>
      </c>
      <c r="J47" s="211" t="s">
        <v>392</v>
      </c>
      <c r="K47" s="213">
        <v>40000</v>
      </c>
      <c r="L47" s="204">
        <f>IF(ISNUMBER(K47),(ROUNDDOWN(PRODUCT(E47,G47,I47,K47)/1000,0)),"")</f>
        <v>480</v>
      </c>
      <c r="M47" s="205"/>
      <c r="N47" s="206"/>
    </row>
    <row r="48" spans="1:23" ht="18.75" customHeight="1">
      <c r="A48" s="572"/>
      <c r="B48" s="579"/>
      <c r="C48" s="579"/>
      <c r="D48" s="229" t="s">
        <v>423</v>
      </c>
      <c r="E48" s="230">
        <v>1</v>
      </c>
      <c r="F48" s="231" t="s">
        <v>410</v>
      </c>
      <c r="G48" s="232">
        <v>12</v>
      </c>
      <c r="H48" s="233" t="s">
        <v>391</v>
      </c>
      <c r="I48" s="232">
        <v>1</v>
      </c>
      <c r="J48" s="233" t="s">
        <v>392</v>
      </c>
      <c r="K48" s="234">
        <v>30000</v>
      </c>
      <c r="L48" s="214">
        <f>IF(ISNUMBER(K48),(ROUNDDOWN(PRODUCT(E48,G48,I48,K48)/1000,0)),"")</f>
        <v>360</v>
      </c>
      <c r="M48" s="246"/>
      <c r="N48" s="247"/>
    </row>
    <row r="49" spans="1:25" ht="18.75" customHeight="1">
      <c r="A49" s="572"/>
      <c r="B49" s="579"/>
      <c r="C49" s="579"/>
      <c r="D49" s="229"/>
      <c r="E49" s="230"/>
      <c r="F49" s="231"/>
      <c r="G49" s="232"/>
      <c r="H49" s="233"/>
      <c r="I49" s="232"/>
      <c r="J49" s="233"/>
      <c r="K49" s="234"/>
      <c r="L49" s="214" t="str">
        <f>IF(ISNUMBER(K49),(ROUNDDOWN(PRODUCT(E49,G49,I49,K49)/1000,0)),"")</f>
        <v/>
      </c>
      <c r="M49" s="246"/>
      <c r="N49" s="247"/>
    </row>
    <row r="50" spans="1:25" ht="18.75" customHeight="1">
      <c r="A50" s="572"/>
      <c r="B50" s="579"/>
      <c r="C50" s="579"/>
      <c r="D50" s="217"/>
      <c r="E50" s="218"/>
      <c r="F50" s="219"/>
      <c r="G50" s="220"/>
      <c r="H50" s="221"/>
      <c r="I50" s="220"/>
      <c r="J50" s="221"/>
      <c r="K50" s="222"/>
      <c r="L50" s="223" t="str">
        <f>IF(ISNUMBER(K50),(ROUNDDOWN(PRODUCT(E50,G50,I50,K50)/1000,0)),"")</f>
        <v/>
      </c>
      <c r="M50" s="224"/>
      <c r="N50" s="225"/>
    </row>
    <row r="51" spans="1:25" ht="18.75" customHeight="1">
      <c r="A51" s="572"/>
      <c r="B51" s="579"/>
      <c r="C51" s="579"/>
      <c r="D51" s="577" t="s">
        <v>396</v>
      </c>
      <c r="E51" s="577"/>
      <c r="F51" s="577"/>
      <c r="G51" s="577"/>
      <c r="H51" s="577"/>
      <c r="I51" s="577"/>
      <c r="J51" s="577"/>
      <c r="K51" s="577"/>
      <c r="L51" s="172">
        <f>SUM(L47:L50)</f>
        <v>840</v>
      </c>
      <c r="M51" s="578"/>
      <c r="N51" s="578"/>
      <c r="P51" s="192" t="s">
        <v>397</v>
      </c>
      <c r="Q51" s="227">
        <f>SUMIF(N47:N50,"○",L47:L50)</f>
        <v>0</v>
      </c>
      <c r="R51" s="228"/>
      <c r="S51" s="192" t="s">
        <v>398</v>
      </c>
      <c r="T51" s="227">
        <f>SUMIF(M47:M50,"○",L47:L50)</f>
        <v>0</v>
      </c>
      <c r="U51" s="228"/>
      <c r="V51" s="192" t="s">
        <v>399</v>
      </c>
      <c r="W51" s="227">
        <f>$L$51-$Q$51-$T$51</f>
        <v>840</v>
      </c>
    </row>
    <row r="52" spans="1:25" ht="18.75" customHeight="1">
      <c r="A52" s="572"/>
      <c r="B52" s="580" t="s">
        <v>358</v>
      </c>
      <c r="C52" s="580"/>
      <c r="D52" s="197" t="s">
        <v>424</v>
      </c>
      <c r="E52" s="198">
        <v>17</v>
      </c>
      <c r="F52" s="199" t="s">
        <v>417</v>
      </c>
      <c r="G52" s="202">
        <v>1</v>
      </c>
      <c r="H52" s="201" t="s">
        <v>410</v>
      </c>
      <c r="I52" s="202">
        <v>1</v>
      </c>
      <c r="J52" s="201" t="s">
        <v>392</v>
      </c>
      <c r="K52" s="203">
        <v>60000</v>
      </c>
      <c r="L52" s="204">
        <f>IF(ISNUMBER(K52),(ROUNDDOWN(PRODUCT(E52,G52,I52,K52)/1000,0)),"")</f>
        <v>1020</v>
      </c>
      <c r="M52" s="205"/>
      <c r="N52" s="206"/>
    </row>
    <row r="53" spans="1:25" ht="18.75" customHeight="1">
      <c r="A53" s="572"/>
      <c r="B53" s="580"/>
      <c r="C53" s="580"/>
      <c r="D53" s="207" t="s">
        <v>425</v>
      </c>
      <c r="E53" s="208">
        <v>1</v>
      </c>
      <c r="F53" s="209" t="s">
        <v>410</v>
      </c>
      <c r="G53" s="210">
        <v>1</v>
      </c>
      <c r="H53" s="211" t="s">
        <v>401</v>
      </c>
      <c r="I53" s="212">
        <v>1</v>
      </c>
      <c r="J53" s="211" t="s">
        <v>392</v>
      </c>
      <c r="K53" s="213">
        <v>500000</v>
      </c>
      <c r="L53" s="214">
        <f>IF(ISNUMBER(K53),(ROUNDDOWN(PRODUCT(E53,G53,I53,K53)/1000,0)),"")</f>
        <v>500</v>
      </c>
      <c r="M53" s="215"/>
      <c r="N53" s="216"/>
    </row>
    <row r="54" spans="1:25" ht="18.75" customHeight="1">
      <c r="A54" s="572"/>
      <c r="B54" s="580"/>
      <c r="C54" s="580"/>
      <c r="D54" s="207" t="s">
        <v>426</v>
      </c>
      <c r="E54" s="208">
        <v>1</v>
      </c>
      <c r="F54" s="209" t="s">
        <v>410</v>
      </c>
      <c r="G54" s="210">
        <v>1</v>
      </c>
      <c r="H54" s="211" t="s">
        <v>401</v>
      </c>
      <c r="I54" s="212">
        <v>1</v>
      </c>
      <c r="J54" s="211" t="s">
        <v>392</v>
      </c>
      <c r="K54" s="213">
        <v>150000</v>
      </c>
      <c r="L54" s="214">
        <f>IF(ISNUMBER(K54),(ROUNDDOWN(PRODUCT(E54,G54,I54,K54)/1000,0)),"")</f>
        <v>150</v>
      </c>
      <c r="M54" s="215"/>
      <c r="N54" s="216"/>
    </row>
    <row r="55" spans="1:25" ht="18.75" customHeight="1">
      <c r="A55" s="572"/>
      <c r="B55" s="580"/>
      <c r="C55" s="580"/>
      <c r="D55" s="207" t="s">
        <v>454</v>
      </c>
      <c r="E55" s="208">
        <v>1</v>
      </c>
      <c r="F55" s="209" t="s">
        <v>410</v>
      </c>
      <c r="G55" s="212">
        <v>1</v>
      </c>
      <c r="H55" s="211" t="s">
        <v>410</v>
      </c>
      <c r="I55" s="212">
        <v>1</v>
      </c>
      <c r="J55" s="211" t="s">
        <v>410</v>
      </c>
      <c r="K55" s="245">
        <v>200000</v>
      </c>
      <c r="L55" s="223">
        <f>IF(ISNUMBER(K55),(ROUNDDOWN(PRODUCT(E55,G55,I55,K55)/1000,0)),"")</f>
        <v>200</v>
      </c>
      <c r="M55" s="215"/>
      <c r="N55" s="216"/>
    </row>
    <row r="56" spans="1:25" ht="18.75" customHeight="1">
      <c r="A56" s="572"/>
      <c r="B56" s="580"/>
      <c r="C56" s="580"/>
      <c r="D56" s="250" t="s">
        <v>427</v>
      </c>
      <c r="E56" s="251">
        <v>12</v>
      </c>
      <c r="F56" s="252" t="s">
        <v>401</v>
      </c>
      <c r="G56" s="253">
        <v>1</v>
      </c>
      <c r="H56" s="254" t="s">
        <v>410</v>
      </c>
      <c r="I56" s="253">
        <v>1</v>
      </c>
      <c r="J56" s="254" t="s">
        <v>392</v>
      </c>
      <c r="K56" s="255">
        <v>50000</v>
      </c>
      <c r="L56" s="321">
        <f>IF(ISNUMBER(K56),(ROUNDDOWN(PRODUCT(E56,G56,I56,K56)/1000,0)),"")</f>
        <v>600</v>
      </c>
      <c r="M56" s="246"/>
      <c r="N56" s="257"/>
    </row>
    <row r="57" spans="1:25" ht="18.75" customHeight="1">
      <c r="A57" s="572"/>
      <c r="B57" s="580"/>
      <c r="C57" s="580"/>
      <c r="D57" s="581" t="s">
        <v>396</v>
      </c>
      <c r="E57" s="581"/>
      <c r="F57" s="581"/>
      <c r="G57" s="581"/>
      <c r="H57" s="581"/>
      <c r="I57" s="581"/>
      <c r="J57" s="581"/>
      <c r="K57" s="581"/>
      <c r="L57" s="259">
        <f>SUM(L52:L56)</f>
        <v>2470</v>
      </c>
      <c r="M57" s="578"/>
      <c r="N57" s="578"/>
      <c r="P57" s="192" t="s">
        <v>397</v>
      </c>
      <c r="Q57" s="227">
        <f>SUMIF(N52:N55,"○",L52:L55)</f>
        <v>0</v>
      </c>
      <c r="R57" s="228"/>
      <c r="S57" s="192" t="s">
        <v>398</v>
      </c>
      <c r="T57" s="227">
        <f>SUMIF(M52:M55,"○",L52:L55)</f>
        <v>0</v>
      </c>
      <c r="U57" s="228"/>
      <c r="V57" s="192" t="s">
        <v>399</v>
      </c>
      <c r="W57" s="227">
        <f>$L$57-$Q$57-$T$57</f>
        <v>2470</v>
      </c>
    </row>
    <row r="58" spans="1:25" ht="18.75" customHeight="1">
      <c r="A58" s="572"/>
      <c r="B58" s="580" t="s">
        <v>359</v>
      </c>
      <c r="C58" s="580"/>
      <c r="D58" s="242"/>
      <c r="E58" s="198"/>
      <c r="F58" s="199"/>
      <c r="G58" s="202"/>
      <c r="H58" s="201"/>
      <c r="I58" s="202"/>
      <c r="J58" s="201"/>
      <c r="K58" s="203"/>
      <c r="L58" s="204" t="str">
        <f>IF(ISNUMBER(K58),(ROUNDDOWN(PRODUCT(E58,G58,I58,K58)/1000,0)),"")</f>
        <v/>
      </c>
      <c r="M58" s="205"/>
      <c r="N58" s="206"/>
    </row>
    <row r="59" spans="1:25" ht="18.75" customHeight="1">
      <c r="A59" s="572"/>
      <c r="B59" s="580"/>
      <c r="C59" s="580"/>
      <c r="D59" s="207" t="s">
        <v>455</v>
      </c>
      <c r="E59" s="208">
        <v>40</v>
      </c>
      <c r="F59" s="209" t="s">
        <v>390</v>
      </c>
      <c r="G59" s="210">
        <v>1</v>
      </c>
      <c r="H59" s="211" t="s">
        <v>410</v>
      </c>
      <c r="I59" s="212">
        <v>1</v>
      </c>
      <c r="J59" s="211" t="s">
        <v>410</v>
      </c>
      <c r="K59" s="213">
        <v>1500</v>
      </c>
      <c r="L59" s="214">
        <f>IF(ISNUMBER(K59),(ROUNDDOWN(PRODUCT(E59,G59,I59,K59)/1000,0)),"")</f>
        <v>60</v>
      </c>
      <c r="M59" s="215"/>
      <c r="N59" s="216"/>
    </row>
    <row r="60" spans="1:25" ht="18.75" customHeight="1">
      <c r="A60" s="572"/>
      <c r="B60" s="580"/>
      <c r="C60" s="580"/>
      <c r="D60" s="244"/>
      <c r="E60" s="208"/>
      <c r="F60" s="209"/>
      <c r="G60" s="210"/>
      <c r="H60" s="211"/>
      <c r="I60" s="212"/>
      <c r="J60" s="211"/>
      <c r="K60" s="213"/>
      <c r="L60" s="214" t="str">
        <f>IF(ISNUMBER(K60),(ROUNDDOWN(PRODUCT(E60,G60,I60,K60)/1000,0)),"")</f>
        <v/>
      </c>
      <c r="M60" s="215"/>
      <c r="N60" s="216"/>
    </row>
    <row r="61" spans="1:25" ht="18.75" customHeight="1">
      <c r="A61" s="572"/>
      <c r="B61" s="580"/>
      <c r="C61" s="580"/>
      <c r="D61" s="244"/>
      <c r="E61" s="208"/>
      <c r="F61" s="209"/>
      <c r="G61" s="212"/>
      <c r="H61" s="211"/>
      <c r="I61" s="212"/>
      <c r="J61" s="211"/>
      <c r="K61" s="213"/>
      <c r="L61" s="223" t="str">
        <f>IF(ISNUMBER(K61),(ROUNDDOWN(PRODUCT(E61,G61,I61,K61)/1000,0)),"")</f>
        <v/>
      </c>
      <c r="M61" s="215"/>
      <c r="N61" s="216"/>
    </row>
    <row r="62" spans="1:25" ht="18.75" customHeight="1">
      <c r="A62" s="572"/>
      <c r="B62" s="580"/>
      <c r="C62" s="580"/>
      <c r="D62" s="581" t="s">
        <v>396</v>
      </c>
      <c r="E62" s="581"/>
      <c r="F62" s="581"/>
      <c r="G62" s="581"/>
      <c r="H62" s="581"/>
      <c r="I62" s="581"/>
      <c r="J62" s="581"/>
      <c r="K62" s="581"/>
      <c r="L62" s="259">
        <f>SUM(L58:L61)</f>
        <v>60</v>
      </c>
      <c r="M62" s="578"/>
      <c r="N62" s="578"/>
      <c r="P62" s="192" t="s">
        <v>397</v>
      </c>
      <c r="Q62" s="227">
        <f>SUMIF(N58:N61,"○",L58:L61)</f>
        <v>0</v>
      </c>
      <c r="R62" s="228"/>
      <c r="S62" s="192" t="s">
        <v>398</v>
      </c>
      <c r="T62" s="227">
        <f>SUMIF(M58:M61,"○",L58:L61)</f>
        <v>0</v>
      </c>
      <c r="U62" s="228"/>
      <c r="V62" s="192" t="s">
        <v>399</v>
      </c>
      <c r="W62" s="227">
        <f>$L$62-$Q$62-$T$62</f>
        <v>60</v>
      </c>
      <c r="X62" s="174" t="s">
        <v>360</v>
      </c>
      <c r="Y62" s="152">
        <f>SUM(L26,L31,L36,L41,L46,L51,L57,L62)</f>
        <v>45050</v>
      </c>
    </row>
    <row r="63" spans="1:25" ht="22.5" customHeight="1">
      <c r="A63" s="568" t="s">
        <v>361</v>
      </c>
      <c r="B63" s="568"/>
      <c r="C63" s="568"/>
      <c r="D63" s="583" t="s">
        <v>430</v>
      </c>
      <c r="E63" s="583"/>
      <c r="F63" s="583"/>
      <c r="G63" s="583"/>
      <c r="H63" s="583"/>
      <c r="I63" s="583"/>
      <c r="J63" s="583"/>
      <c r="K63" s="583"/>
      <c r="L63" s="260">
        <v>5000</v>
      </c>
      <c r="M63" s="584"/>
      <c r="N63" s="584"/>
    </row>
    <row r="64" spans="1:25" ht="22.5" customHeight="1">
      <c r="A64" s="585" t="s">
        <v>431</v>
      </c>
      <c r="B64" s="585"/>
      <c r="C64" s="585"/>
      <c r="D64" s="585"/>
      <c r="E64" s="585"/>
      <c r="F64" s="585"/>
      <c r="G64" s="585"/>
      <c r="H64" s="585"/>
      <c r="I64" s="585"/>
      <c r="J64" s="585"/>
      <c r="K64" s="585"/>
      <c r="L64" s="261">
        <f>SUM(L18,L26,L31,L36,L41,L46,L51,L57,L62,L63)</f>
        <v>70049</v>
      </c>
      <c r="M64" s="584"/>
      <c r="N64" s="584"/>
    </row>
    <row r="65" spans="1:23" ht="18" customHeight="1">
      <c r="A65" s="586"/>
      <c r="B65" s="586"/>
      <c r="C65" s="586"/>
      <c r="D65" s="586"/>
      <c r="E65" s="586"/>
      <c r="F65" s="586"/>
      <c r="G65" s="586"/>
      <c r="H65" s="587" t="s">
        <v>432</v>
      </c>
      <c r="I65" s="587"/>
      <c r="J65" s="587"/>
      <c r="K65" s="587"/>
      <c r="L65" s="262">
        <f>SUM(Q18,Q26,Q31,Q36,Q41,Q46,,Q51,Q57,Q62)</f>
        <v>21669</v>
      </c>
      <c r="M65" s="584"/>
      <c r="N65" s="584"/>
      <c r="P65" s="192"/>
      <c r="Q65" s="263"/>
      <c r="R65" s="228"/>
      <c r="S65" s="192"/>
      <c r="T65" s="263"/>
      <c r="U65" s="228"/>
      <c r="V65" s="192"/>
      <c r="W65" s="263"/>
    </row>
    <row r="66" spans="1:23" ht="18" customHeight="1">
      <c r="A66" s="586"/>
      <c r="B66" s="586"/>
      <c r="C66" s="586"/>
      <c r="D66" s="586"/>
      <c r="E66" s="586"/>
      <c r="F66" s="586"/>
      <c r="G66" s="586"/>
      <c r="H66" s="588" t="s">
        <v>433</v>
      </c>
      <c r="I66" s="588"/>
      <c r="J66" s="588"/>
      <c r="K66" s="588"/>
      <c r="L66" s="264">
        <f>SUM(T18,T26,T31,T36,T41,T46,,T51,T57,T62)</f>
        <v>0</v>
      </c>
      <c r="M66" s="584"/>
      <c r="N66" s="584"/>
      <c r="P66" s="160" t="s">
        <v>344</v>
      </c>
      <c r="Q66" s="263"/>
      <c r="R66" s="228"/>
      <c r="S66" s="192"/>
      <c r="T66" s="263"/>
      <c r="U66" s="228"/>
      <c r="V66" s="192"/>
      <c r="W66" s="263"/>
    </row>
    <row r="67" spans="1:23" ht="18" customHeight="1">
      <c r="A67" s="586"/>
      <c r="B67" s="586"/>
      <c r="C67" s="586"/>
      <c r="D67" s="586"/>
      <c r="E67" s="586"/>
      <c r="F67" s="586"/>
      <c r="G67" s="586"/>
      <c r="H67" s="589" t="s">
        <v>434</v>
      </c>
      <c r="I67" s="589"/>
      <c r="J67" s="589"/>
      <c r="K67" s="589"/>
      <c r="L67" s="265">
        <f>SUM(W18,W26,W31,W36,W41,W46,,W51,W57,W62)</f>
        <v>43380</v>
      </c>
      <c r="M67" s="584"/>
      <c r="N67" s="584"/>
      <c r="P67" s="163" t="str">
        <f>'１０．収支予算書'!$E$11</f>
        <v>【</v>
      </c>
      <c r="Q67" s="263"/>
      <c r="R67" s="228"/>
      <c r="S67" s="192"/>
      <c r="T67" s="263"/>
      <c r="U67" s="228"/>
      <c r="V67" s="192"/>
      <c r="W67" s="263"/>
    </row>
    <row r="68" spans="1:23" ht="22.5" customHeight="1">
      <c r="A68" s="590" t="s">
        <v>363</v>
      </c>
      <c r="B68" s="590"/>
      <c r="C68" s="590"/>
      <c r="D68" s="590"/>
      <c r="E68" s="590"/>
      <c r="F68" s="590"/>
      <c r="G68" s="590"/>
      <c r="H68" s="590"/>
      <c r="I68" s="590"/>
      <c r="J68" s="590"/>
      <c r="K68" s="590"/>
      <c r="L68" s="266">
        <f>SUM(ROUNDDOWN(L67*10/110,0),ROUNDDOWN(L66*8/108,0))</f>
        <v>3943</v>
      </c>
      <c r="M68" s="591"/>
      <c r="N68" s="591"/>
    </row>
    <row r="69" spans="1:23" ht="22.5" customHeight="1">
      <c r="A69" s="592" t="s">
        <v>364</v>
      </c>
      <c r="B69" s="592"/>
      <c r="C69" s="592"/>
      <c r="D69" s="592"/>
      <c r="E69" s="592"/>
      <c r="F69" s="592"/>
      <c r="G69" s="592"/>
      <c r="H69" s="592"/>
      <c r="I69" s="592"/>
      <c r="J69" s="592"/>
      <c r="K69" s="592"/>
      <c r="L69" s="267">
        <f>IF(OR($P$67="2",$P$67="3"),$L$64,$L$64-$L$68)</f>
        <v>66106</v>
      </c>
      <c r="M69" s="593"/>
      <c r="N69" s="593"/>
    </row>
    <row r="70" spans="1:23" ht="18.75" customHeight="1">
      <c r="A70" s="594" t="s">
        <v>365</v>
      </c>
      <c r="B70" s="594"/>
      <c r="C70" s="594"/>
      <c r="D70" s="242"/>
      <c r="E70" s="198"/>
      <c r="F70" s="199"/>
      <c r="G70" s="202"/>
      <c r="H70" s="201"/>
      <c r="I70" s="343"/>
      <c r="J70" s="344"/>
      <c r="K70" s="243"/>
      <c r="L70" s="268" t="str">
        <f>IF(ISNUMBER(K70),(ROUNDDOWN(PRODUCT(E70,G70,I70,K70)/1000,0)),"")</f>
        <v/>
      </c>
      <c r="M70" s="351"/>
      <c r="N70" s="352"/>
    </row>
    <row r="71" spans="1:23" ht="18.75" customHeight="1">
      <c r="A71" s="594"/>
      <c r="B71" s="594"/>
      <c r="C71" s="594"/>
      <c r="D71" s="244"/>
      <c r="E71" s="208"/>
      <c r="F71" s="209"/>
      <c r="G71" s="212"/>
      <c r="H71" s="211"/>
      <c r="I71" s="345"/>
      <c r="J71" s="346"/>
      <c r="K71" s="245"/>
      <c r="L71" s="214" t="str">
        <f>IF(ISNUMBER(K71),(ROUNDDOWN(PRODUCT(E71,G71,I71,K71)/1000,0)),"")</f>
        <v/>
      </c>
      <c r="M71" s="271"/>
      <c r="N71" s="272"/>
    </row>
    <row r="72" spans="1:23" ht="18.75" customHeight="1">
      <c r="A72" s="594"/>
      <c r="B72" s="594"/>
      <c r="C72" s="594"/>
      <c r="D72" s="244"/>
      <c r="E72" s="208"/>
      <c r="F72" s="209"/>
      <c r="G72" s="212"/>
      <c r="H72" s="211"/>
      <c r="I72" s="347"/>
      <c r="J72" s="348"/>
      <c r="K72" s="245"/>
      <c r="L72" s="214" t="str">
        <f>IF(ISNUMBER(K72),(ROUNDDOWN(PRODUCT(E72,G72,I72,K72)/1000,0)),"")</f>
        <v/>
      </c>
      <c r="M72" s="271"/>
      <c r="N72" s="272"/>
    </row>
    <row r="73" spans="1:23" ht="18.75" customHeight="1">
      <c r="A73" s="594"/>
      <c r="B73" s="594"/>
      <c r="C73" s="594"/>
      <c r="D73" s="353"/>
      <c r="E73" s="212"/>
      <c r="F73" s="209"/>
      <c r="G73" s="212"/>
      <c r="H73" s="211"/>
      <c r="I73" s="212"/>
      <c r="J73" s="211"/>
      <c r="K73" s="273"/>
      <c r="L73" s="214" t="str">
        <f>IF(ISNUMBER(K73),(ROUNDDOWN(PRODUCT(E73,G73,I73,K73)/1000,0)),"")</f>
        <v/>
      </c>
      <c r="M73" s="271"/>
      <c r="N73" s="272"/>
    </row>
    <row r="74" spans="1:23" ht="18.75" customHeight="1">
      <c r="A74" s="594"/>
      <c r="B74" s="594"/>
      <c r="C74" s="594"/>
      <c r="D74" s="274"/>
      <c r="E74" s="220"/>
      <c r="F74" s="219"/>
      <c r="G74" s="220"/>
      <c r="H74" s="221"/>
      <c r="I74" s="220"/>
      <c r="J74" s="221"/>
      <c r="K74" s="275"/>
      <c r="L74" s="223" t="str">
        <f>IF(ISNUMBER(K74),(PRODUCT(E74,G74,I74,K74)),"")</f>
        <v/>
      </c>
      <c r="M74" s="276"/>
      <c r="N74" s="277"/>
    </row>
    <row r="75" spans="1:23" ht="18.75" customHeight="1">
      <c r="A75" s="594"/>
      <c r="B75" s="594"/>
      <c r="C75" s="594"/>
      <c r="D75" s="595" t="s">
        <v>396</v>
      </c>
      <c r="E75" s="595"/>
      <c r="F75" s="595"/>
      <c r="G75" s="595"/>
      <c r="H75" s="595"/>
      <c r="I75" s="595"/>
      <c r="J75" s="595"/>
      <c r="K75" s="595"/>
      <c r="L75" s="278">
        <f>SUM(L70:L74)</f>
        <v>0</v>
      </c>
      <c r="M75" s="596"/>
      <c r="N75" s="596"/>
    </row>
    <row r="76" spans="1:23" ht="23.25" customHeight="1">
      <c r="A76" s="592" t="s">
        <v>435</v>
      </c>
      <c r="B76" s="592"/>
      <c r="C76" s="592"/>
      <c r="D76" s="592"/>
      <c r="E76" s="592"/>
      <c r="F76" s="592"/>
      <c r="G76" s="592"/>
      <c r="H76" s="592"/>
      <c r="I76" s="592"/>
      <c r="J76" s="592"/>
      <c r="K76" s="592"/>
      <c r="L76" s="176">
        <f>L64-L75</f>
        <v>70049</v>
      </c>
      <c r="M76" s="593"/>
      <c r="N76" s="593"/>
    </row>
    <row r="77" spans="1:23" ht="13.5" customHeight="1"/>
    <row r="78" spans="1:23" ht="13.5" customHeight="1"/>
    <row r="79" spans="1:23" ht="13.5" customHeight="1">
      <c r="A79" s="174" t="s">
        <v>464</v>
      </c>
      <c r="B79" s="174"/>
      <c r="C79" s="174"/>
      <c r="D79" s="174"/>
      <c r="E79" s="174"/>
      <c r="F79" s="174"/>
      <c r="G79" s="174"/>
      <c r="H79" s="174"/>
      <c r="I79" s="174"/>
      <c r="J79" s="174"/>
      <c r="K79" s="174"/>
      <c r="L79" s="174"/>
      <c r="M79" s="279"/>
      <c r="N79" s="279"/>
    </row>
    <row r="80" spans="1:23" ht="13.5" customHeight="1">
      <c r="A80" s="280" t="s">
        <v>373</v>
      </c>
      <c r="B80" s="281" t="s">
        <v>465</v>
      </c>
      <c r="C80" s="174"/>
      <c r="D80" s="174"/>
      <c r="E80" s="174"/>
      <c r="F80" s="174"/>
      <c r="G80" s="174"/>
      <c r="H80" s="174"/>
      <c r="I80" s="174"/>
      <c r="J80" s="174"/>
      <c r="K80" s="174"/>
      <c r="L80" s="174"/>
      <c r="M80" s="279"/>
      <c r="N80" s="279"/>
    </row>
    <row r="81" spans="1:15" ht="13.5" customHeight="1">
      <c r="A81" s="164"/>
      <c r="B81" s="174"/>
      <c r="C81" s="174"/>
      <c r="D81" s="174"/>
      <c r="E81" s="174"/>
      <c r="F81" s="174"/>
      <c r="G81" s="174"/>
      <c r="H81" s="174"/>
      <c r="I81" s="174"/>
      <c r="J81" s="174"/>
      <c r="K81" s="174"/>
      <c r="L81" s="174"/>
      <c r="M81" s="279"/>
      <c r="N81" s="279"/>
    </row>
    <row r="82" spans="1:15" s="284" customFormat="1" ht="21.75" customHeight="1">
      <c r="A82" s="597" t="s">
        <v>438</v>
      </c>
      <c r="B82" s="597"/>
      <c r="C82" s="598" t="s">
        <v>250</v>
      </c>
      <c r="D82" s="598"/>
      <c r="E82" s="598"/>
      <c r="F82" s="598"/>
      <c r="G82" s="598"/>
      <c r="H82" s="598"/>
      <c r="I82" s="598"/>
      <c r="J82" s="598"/>
      <c r="K82" s="598"/>
      <c r="L82" s="282"/>
      <c r="M82" s="282"/>
      <c r="N82" s="282"/>
      <c r="O82" s="283"/>
    </row>
    <row r="83" spans="1:15" s="284" customFormat="1" ht="15" customHeight="1">
      <c r="A83" s="282"/>
      <c r="B83" s="282"/>
      <c r="C83" s="282"/>
      <c r="D83" s="282"/>
      <c r="E83" s="282"/>
      <c r="F83" s="282"/>
      <c r="G83" s="282"/>
      <c r="H83" s="282"/>
      <c r="I83" s="282"/>
      <c r="J83" s="282"/>
      <c r="K83" s="282"/>
      <c r="L83" s="285"/>
      <c r="M83" s="285"/>
      <c r="N83" s="286"/>
      <c r="O83" s="283"/>
    </row>
    <row r="84" spans="1:15" s="284" customFormat="1" ht="15" customHeight="1">
      <c r="A84" s="282"/>
      <c r="B84" s="282"/>
      <c r="C84" s="282"/>
      <c r="D84" s="282"/>
      <c r="E84" s="282"/>
      <c r="F84" s="282"/>
      <c r="G84" s="282"/>
      <c r="H84" s="282"/>
      <c r="I84" s="282"/>
      <c r="J84" s="282"/>
      <c r="K84" s="282"/>
      <c r="L84" s="285"/>
      <c r="M84" s="285"/>
      <c r="N84" s="286"/>
    </row>
    <row r="85" spans="1:15" s="284" customFormat="1" ht="22.5" customHeight="1">
      <c r="A85" s="287" t="s">
        <v>347</v>
      </c>
      <c r="B85" s="599" t="s">
        <v>245</v>
      </c>
      <c r="C85" s="599"/>
      <c r="D85" s="288" t="s">
        <v>383</v>
      </c>
      <c r="E85" s="599" t="s">
        <v>384</v>
      </c>
      <c r="F85" s="599"/>
      <c r="G85" s="599" t="s">
        <v>384</v>
      </c>
      <c r="H85" s="599"/>
      <c r="I85" s="599" t="s">
        <v>384</v>
      </c>
      <c r="J85" s="599"/>
      <c r="K85" s="289" t="s">
        <v>385</v>
      </c>
      <c r="L85" s="290" t="s">
        <v>386</v>
      </c>
      <c r="M85" s="291" t="s">
        <v>387</v>
      </c>
      <c r="N85" s="292" t="s">
        <v>388</v>
      </c>
    </row>
    <row r="86" spans="1:15" s="282" customFormat="1" ht="18.75" customHeight="1">
      <c r="A86" s="600" t="s">
        <v>349</v>
      </c>
      <c r="B86" s="601" t="s">
        <v>350</v>
      </c>
      <c r="C86" s="601"/>
      <c r="D86" s="293" t="s">
        <v>439</v>
      </c>
      <c r="E86" s="294">
        <v>1</v>
      </c>
      <c r="F86" s="295" t="s">
        <v>390</v>
      </c>
      <c r="G86" s="296">
        <v>12</v>
      </c>
      <c r="H86" s="297" t="s">
        <v>391</v>
      </c>
      <c r="I86" s="296">
        <v>1</v>
      </c>
      <c r="J86" s="297" t="s">
        <v>392</v>
      </c>
      <c r="K86" s="298">
        <v>250000</v>
      </c>
      <c r="L86" s="299">
        <f>IF(ISNUMBER(K86),(ROUNDDOWN(PRODUCT(E86,G86,I86,K86)/1000,0)),"")</f>
        <v>3000</v>
      </c>
      <c r="M86" s="300"/>
      <c r="N86" s="301" t="s">
        <v>393</v>
      </c>
    </row>
    <row r="87" spans="1:15" s="282" customFormat="1" ht="18.75" customHeight="1">
      <c r="A87" s="600"/>
      <c r="B87" s="601"/>
      <c r="C87" s="601"/>
      <c r="D87" s="324"/>
      <c r="E87" s="303"/>
      <c r="F87" s="325"/>
      <c r="G87" s="305"/>
      <c r="H87" s="326"/>
      <c r="I87" s="305"/>
      <c r="J87" s="326"/>
      <c r="K87" s="307"/>
      <c r="L87" s="308" t="str">
        <f>IF(ISNUMBER(K87),(ROUNDDOWN(PRODUCT(E87,G87,I87,K87)/1000,0)),"")</f>
        <v/>
      </c>
      <c r="M87" s="309"/>
      <c r="N87" s="310"/>
    </row>
    <row r="88" spans="1:15" s="282" customFormat="1" ht="18.75" customHeight="1">
      <c r="A88" s="600"/>
      <c r="B88" s="601"/>
      <c r="C88" s="601"/>
      <c r="D88" s="324"/>
      <c r="E88" s="303"/>
      <c r="F88" s="325"/>
      <c r="G88" s="305"/>
      <c r="H88" s="326"/>
      <c r="I88" s="305"/>
      <c r="J88" s="326"/>
      <c r="K88" s="307"/>
      <c r="L88" s="308" t="str">
        <f>IF(ISNUMBER(K88),(ROUNDDOWN(PRODUCT(E88,G88,I88,K88)/1000,0)),"")</f>
        <v/>
      </c>
      <c r="M88" s="309"/>
      <c r="N88" s="310"/>
    </row>
    <row r="89" spans="1:15" s="282" customFormat="1" ht="18.75" customHeight="1">
      <c r="A89" s="600"/>
      <c r="B89" s="601"/>
      <c r="C89" s="601"/>
      <c r="D89" s="311"/>
      <c r="E89" s="312"/>
      <c r="F89" s="313"/>
      <c r="G89" s="314"/>
      <c r="H89" s="315"/>
      <c r="I89" s="314"/>
      <c r="J89" s="315"/>
      <c r="K89" s="316"/>
      <c r="L89" s="317" t="str">
        <f>IF(ISNUMBER(K89),(ROUNDDOWN(PRODUCT(E89,G89,I89,K89)/1000,0)),"")</f>
        <v/>
      </c>
      <c r="M89" s="318"/>
      <c r="N89" s="319"/>
    </row>
    <row r="90" spans="1:15" s="282" customFormat="1" ht="18.75" customHeight="1">
      <c r="A90" s="600"/>
      <c r="B90" s="601"/>
      <c r="C90" s="601"/>
      <c r="D90" s="602" t="s">
        <v>396</v>
      </c>
      <c r="E90" s="602"/>
      <c r="F90" s="602"/>
      <c r="G90" s="602"/>
      <c r="H90" s="602"/>
      <c r="I90" s="602"/>
      <c r="J90" s="602"/>
      <c r="K90" s="602"/>
      <c r="L90" s="320">
        <f>SUM(L86:L89)</f>
        <v>3000</v>
      </c>
      <c r="M90" s="603"/>
      <c r="N90" s="603"/>
    </row>
    <row r="91" spans="1:15" s="282" customFormat="1" ht="18.75" customHeight="1">
      <c r="A91" s="600" t="s">
        <v>351</v>
      </c>
      <c r="B91" s="601" t="s">
        <v>352</v>
      </c>
      <c r="C91" s="601"/>
      <c r="D91" s="293"/>
      <c r="E91" s="294"/>
      <c r="F91" s="295"/>
      <c r="G91" s="296"/>
      <c r="H91" s="297"/>
      <c r="I91" s="296"/>
      <c r="J91" s="297"/>
      <c r="K91" s="298"/>
      <c r="L91" s="299" t="str">
        <f>IF(ISNUMBER(K91),(ROUNDDOWN(PRODUCT(E91,G91,I91,K91)/1000,0)),"")</f>
        <v/>
      </c>
      <c r="M91" s="300"/>
      <c r="N91" s="301"/>
    </row>
    <row r="92" spans="1:15" s="282" customFormat="1" ht="18.75" customHeight="1">
      <c r="A92" s="600"/>
      <c r="B92" s="601"/>
      <c r="C92" s="601"/>
      <c r="D92" s="324"/>
      <c r="E92" s="303"/>
      <c r="F92" s="325"/>
      <c r="G92" s="305"/>
      <c r="H92" s="326"/>
      <c r="I92" s="305"/>
      <c r="J92" s="326"/>
      <c r="K92" s="307"/>
      <c r="L92" s="308" t="str">
        <f>IF(ISNUMBER(K92),(ROUNDDOWN(PRODUCT(E92,G92,I92,K92)/1000,0)),"")</f>
        <v/>
      </c>
      <c r="M92" s="309"/>
      <c r="N92" s="310"/>
    </row>
    <row r="93" spans="1:15" s="282" customFormat="1" ht="18.75" customHeight="1">
      <c r="A93" s="600"/>
      <c r="B93" s="601"/>
      <c r="C93" s="601"/>
      <c r="D93" s="311"/>
      <c r="E93" s="312"/>
      <c r="F93" s="313"/>
      <c r="G93" s="314"/>
      <c r="H93" s="315"/>
      <c r="I93" s="314"/>
      <c r="J93" s="315"/>
      <c r="K93" s="316"/>
      <c r="L93" s="317" t="str">
        <f>IF(ISNUMBER(K93),(ROUNDDOWN(PRODUCT(E93,G93,I93,K93)/1000,0)),"")</f>
        <v/>
      </c>
      <c r="M93" s="318"/>
      <c r="N93" s="319"/>
    </row>
    <row r="94" spans="1:15" s="282" customFormat="1" ht="18.75" customHeight="1">
      <c r="A94" s="600"/>
      <c r="B94" s="601"/>
      <c r="C94" s="601"/>
      <c r="D94" s="602" t="s">
        <v>396</v>
      </c>
      <c r="E94" s="602"/>
      <c r="F94" s="602"/>
      <c r="G94" s="602"/>
      <c r="H94" s="602"/>
      <c r="I94" s="602"/>
      <c r="J94" s="602"/>
      <c r="K94" s="602"/>
      <c r="L94" s="321">
        <f>SUM(L91:L93)</f>
        <v>0</v>
      </c>
      <c r="M94" s="603"/>
      <c r="N94" s="603"/>
    </row>
    <row r="95" spans="1:15" s="282" customFormat="1" ht="18.75" customHeight="1">
      <c r="A95" s="600"/>
      <c r="B95" s="601" t="s">
        <v>353</v>
      </c>
      <c r="C95" s="601"/>
      <c r="D95" s="293"/>
      <c r="E95" s="294"/>
      <c r="F95" s="295"/>
      <c r="G95" s="296"/>
      <c r="H95" s="297"/>
      <c r="I95" s="296"/>
      <c r="J95" s="297"/>
      <c r="K95" s="298"/>
      <c r="L95" s="299" t="str">
        <f>IF(ISNUMBER(K95),(ROUNDDOWN(PRODUCT(E95,G95,I95,K95)/1000,0)),"")</f>
        <v/>
      </c>
      <c r="M95" s="300"/>
      <c r="N95" s="301"/>
    </row>
    <row r="96" spans="1:15" s="282" customFormat="1" ht="18.75" customHeight="1">
      <c r="A96" s="600"/>
      <c r="B96" s="601"/>
      <c r="C96" s="601"/>
      <c r="D96" s="324"/>
      <c r="E96" s="303"/>
      <c r="F96" s="325"/>
      <c r="G96" s="305"/>
      <c r="H96" s="326"/>
      <c r="I96" s="305"/>
      <c r="J96" s="326"/>
      <c r="K96" s="307"/>
      <c r="L96" s="308" t="str">
        <f>IF(ISNUMBER(K96),(ROUNDDOWN(PRODUCT(E96,G96,I96,K96)/1000,0)),"")</f>
        <v/>
      </c>
      <c r="M96" s="309"/>
      <c r="N96" s="310"/>
    </row>
    <row r="97" spans="1:14" s="282" customFormat="1" ht="18.75" customHeight="1">
      <c r="A97" s="600"/>
      <c r="B97" s="601"/>
      <c r="C97" s="601"/>
      <c r="D97" s="311"/>
      <c r="E97" s="312"/>
      <c r="F97" s="313"/>
      <c r="G97" s="314"/>
      <c r="H97" s="315"/>
      <c r="I97" s="314"/>
      <c r="J97" s="315"/>
      <c r="K97" s="316"/>
      <c r="L97" s="317" t="str">
        <f>IF(ISNUMBER(K97),(ROUNDDOWN(PRODUCT(E97,G97,I97,K97)/1000,0)),"")</f>
        <v/>
      </c>
      <c r="M97" s="318"/>
      <c r="N97" s="319"/>
    </row>
    <row r="98" spans="1:14" s="282" customFormat="1" ht="18.75" customHeight="1">
      <c r="A98" s="600"/>
      <c r="B98" s="601"/>
      <c r="C98" s="601"/>
      <c r="D98" s="602" t="s">
        <v>396</v>
      </c>
      <c r="E98" s="602"/>
      <c r="F98" s="602"/>
      <c r="G98" s="602"/>
      <c r="H98" s="602"/>
      <c r="I98" s="602"/>
      <c r="J98" s="602"/>
      <c r="K98" s="602"/>
      <c r="L98" s="322">
        <f>SUM(L95:L97)</f>
        <v>0</v>
      </c>
      <c r="M98" s="603"/>
      <c r="N98" s="603"/>
    </row>
    <row r="99" spans="1:14" s="282" customFormat="1" ht="18.75" customHeight="1">
      <c r="A99" s="600"/>
      <c r="B99" s="601" t="s">
        <v>354</v>
      </c>
      <c r="C99" s="601"/>
      <c r="D99" s="293"/>
      <c r="E99" s="294"/>
      <c r="F99" s="295"/>
      <c r="G99" s="296"/>
      <c r="H99" s="297"/>
      <c r="I99" s="296"/>
      <c r="J99" s="297"/>
      <c r="K99" s="298"/>
      <c r="L99" s="299" t="str">
        <f>IF(ISNUMBER(K99),(ROUNDDOWN(PRODUCT(E99,G99,I99,K99)/1000,0)),"")</f>
        <v/>
      </c>
      <c r="M99" s="300"/>
      <c r="N99" s="301"/>
    </row>
    <row r="100" spans="1:14" s="282" customFormat="1" ht="18.75" customHeight="1">
      <c r="A100" s="600"/>
      <c r="B100" s="601"/>
      <c r="C100" s="601"/>
      <c r="D100" s="324"/>
      <c r="E100" s="303"/>
      <c r="F100" s="325"/>
      <c r="G100" s="305"/>
      <c r="H100" s="326"/>
      <c r="I100" s="305"/>
      <c r="J100" s="326"/>
      <c r="K100" s="307"/>
      <c r="L100" s="308" t="str">
        <f>IF(ISNUMBER(K100),(ROUNDDOWN(PRODUCT(E100,G100,I100,K100)/1000,0)),"")</f>
        <v/>
      </c>
      <c r="M100" s="309"/>
      <c r="N100" s="310"/>
    </row>
    <row r="101" spans="1:14" s="282" customFormat="1" ht="18.75" customHeight="1">
      <c r="A101" s="600"/>
      <c r="B101" s="601"/>
      <c r="C101" s="601"/>
      <c r="D101" s="311"/>
      <c r="E101" s="312"/>
      <c r="F101" s="313"/>
      <c r="G101" s="314"/>
      <c r="H101" s="315"/>
      <c r="I101" s="314"/>
      <c r="J101" s="315"/>
      <c r="K101" s="316"/>
      <c r="L101" s="317" t="str">
        <f>IF(ISNUMBER(K101),(ROUNDDOWN(PRODUCT(E101,G101,I101,K101)/1000,0)),"")</f>
        <v/>
      </c>
      <c r="M101" s="318"/>
      <c r="N101" s="319"/>
    </row>
    <row r="102" spans="1:14" s="282" customFormat="1" ht="18.75" customHeight="1">
      <c r="A102" s="600"/>
      <c r="B102" s="601"/>
      <c r="C102" s="601"/>
      <c r="D102" s="602" t="s">
        <v>396</v>
      </c>
      <c r="E102" s="602"/>
      <c r="F102" s="602"/>
      <c r="G102" s="602"/>
      <c r="H102" s="602"/>
      <c r="I102" s="602"/>
      <c r="J102" s="602"/>
      <c r="K102" s="602"/>
      <c r="L102" s="323">
        <f>SUM(L99:L101)</f>
        <v>0</v>
      </c>
      <c r="M102" s="603"/>
      <c r="N102" s="603"/>
    </row>
    <row r="103" spans="1:14" s="282" customFormat="1" ht="18.75" customHeight="1">
      <c r="A103" s="600"/>
      <c r="B103" s="601" t="s">
        <v>355</v>
      </c>
      <c r="C103" s="601"/>
      <c r="D103" s="293"/>
      <c r="E103" s="294"/>
      <c r="F103" s="295"/>
      <c r="G103" s="296"/>
      <c r="H103" s="297"/>
      <c r="I103" s="296"/>
      <c r="J103" s="297"/>
      <c r="K103" s="298"/>
      <c r="L103" s="299" t="str">
        <f>IF(ISNUMBER(K103),(ROUNDDOWN(PRODUCT(E103,G103,I103,K103)/1000,0)),"")</f>
        <v/>
      </c>
      <c r="M103" s="300"/>
      <c r="N103" s="301"/>
    </row>
    <row r="104" spans="1:14" s="282" customFormat="1" ht="18.75" customHeight="1">
      <c r="A104" s="600"/>
      <c r="B104" s="601"/>
      <c r="C104" s="601"/>
      <c r="D104" s="324"/>
      <c r="E104" s="303"/>
      <c r="F104" s="325"/>
      <c r="G104" s="305"/>
      <c r="H104" s="326"/>
      <c r="I104" s="305"/>
      <c r="J104" s="326"/>
      <c r="K104" s="307"/>
      <c r="L104" s="308" t="str">
        <f>IF(ISNUMBER(K104),(ROUNDDOWN(PRODUCT(E104,G104,I104,K104)/1000,0)),"")</f>
        <v/>
      </c>
      <c r="M104" s="309"/>
      <c r="N104" s="310"/>
    </row>
    <row r="105" spans="1:14" s="282" customFormat="1" ht="18.75" customHeight="1">
      <c r="A105" s="600"/>
      <c r="B105" s="601"/>
      <c r="C105" s="601"/>
      <c r="D105" s="311"/>
      <c r="E105" s="312"/>
      <c r="F105" s="313"/>
      <c r="G105" s="314"/>
      <c r="H105" s="315"/>
      <c r="I105" s="314"/>
      <c r="J105" s="315"/>
      <c r="K105" s="316"/>
      <c r="L105" s="317" t="str">
        <f>IF(ISNUMBER(K105),(ROUNDDOWN(PRODUCT(E105,G105,I105,K105)/1000,0)),"")</f>
        <v/>
      </c>
      <c r="M105" s="318"/>
      <c r="N105" s="319"/>
    </row>
    <row r="106" spans="1:14" s="282" customFormat="1" ht="18.75" customHeight="1">
      <c r="A106" s="600"/>
      <c r="B106" s="601"/>
      <c r="C106" s="601"/>
      <c r="D106" s="602" t="s">
        <v>396</v>
      </c>
      <c r="E106" s="602"/>
      <c r="F106" s="602"/>
      <c r="G106" s="602"/>
      <c r="H106" s="602"/>
      <c r="I106" s="602"/>
      <c r="J106" s="602"/>
      <c r="K106" s="602"/>
      <c r="L106" s="320">
        <f>SUM(L103:L105)</f>
        <v>0</v>
      </c>
      <c r="M106" s="603"/>
      <c r="N106" s="603"/>
    </row>
    <row r="107" spans="1:14" s="282" customFormat="1" ht="18.75" customHeight="1">
      <c r="A107" s="600"/>
      <c r="B107" s="601" t="s">
        <v>356</v>
      </c>
      <c r="C107" s="601"/>
      <c r="D107" s="293"/>
      <c r="E107" s="294"/>
      <c r="F107" s="295"/>
      <c r="G107" s="296"/>
      <c r="H107" s="297"/>
      <c r="I107" s="296"/>
      <c r="J107" s="297"/>
      <c r="K107" s="298"/>
      <c r="L107" s="299" t="str">
        <f>IF(ISNUMBER(K107),(ROUNDDOWN(PRODUCT(E107,G107,I107,K107)/1000,0)),"")</f>
        <v/>
      </c>
      <c r="M107" s="300"/>
      <c r="N107" s="301"/>
    </row>
    <row r="108" spans="1:14" s="282" customFormat="1" ht="18.75" customHeight="1">
      <c r="A108" s="600"/>
      <c r="B108" s="601"/>
      <c r="C108" s="601"/>
      <c r="D108" s="324"/>
      <c r="E108" s="303"/>
      <c r="F108" s="325"/>
      <c r="G108" s="305"/>
      <c r="H108" s="326"/>
      <c r="I108" s="305"/>
      <c r="J108" s="326"/>
      <c r="K108" s="307"/>
      <c r="L108" s="308" t="str">
        <f>IF(ISNUMBER(K108),(ROUNDDOWN(PRODUCT(E108,G108,I108,K108)/1000,0)),"")</f>
        <v/>
      </c>
      <c r="M108" s="309"/>
      <c r="N108" s="310"/>
    </row>
    <row r="109" spans="1:14" s="282" customFormat="1" ht="18.75" customHeight="1">
      <c r="A109" s="600"/>
      <c r="B109" s="601"/>
      <c r="C109" s="601"/>
      <c r="D109" s="311"/>
      <c r="E109" s="312"/>
      <c r="F109" s="313"/>
      <c r="G109" s="314"/>
      <c r="H109" s="315"/>
      <c r="I109" s="314"/>
      <c r="J109" s="315"/>
      <c r="K109" s="316"/>
      <c r="L109" s="317" t="str">
        <f>IF(ISNUMBER(K109),(ROUNDDOWN(PRODUCT(E109,G109,I109,K109)/1000,0)),"")</f>
        <v/>
      </c>
      <c r="M109" s="318"/>
      <c r="N109" s="319"/>
    </row>
    <row r="110" spans="1:14" s="282" customFormat="1" ht="18.75" customHeight="1">
      <c r="A110" s="600"/>
      <c r="B110" s="601"/>
      <c r="C110" s="601"/>
      <c r="D110" s="602" t="s">
        <v>396</v>
      </c>
      <c r="E110" s="602"/>
      <c r="F110" s="602"/>
      <c r="G110" s="602"/>
      <c r="H110" s="602"/>
      <c r="I110" s="602"/>
      <c r="J110" s="602"/>
      <c r="K110" s="602"/>
      <c r="L110" s="323">
        <f>SUM(L107:L109)</f>
        <v>0</v>
      </c>
      <c r="M110" s="603"/>
      <c r="N110" s="603"/>
    </row>
    <row r="111" spans="1:14" s="282" customFormat="1" ht="18.75" customHeight="1">
      <c r="A111" s="600"/>
      <c r="B111" s="604" t="s">
        <v>357</v>
      </c>
      <c r="C111" s="604"/>
      <c r="D111" s="293"/>
      <c r="E111" s="294"/>
      <c r="F111" s="295"/>
      <c r="G111" s="296"/>
      <c r="H111" s="297"/>
      <c r="I111" s="296"/>
      <c r="J111" s="297"/>
      <c r="K111" s="298"/>
      <c r="L111" s="299" t="str">
        <f>IF(ISNUMBER(K111),(ROUNDDOWN(PRODUCT(E111,G111,I111,K111)/1000,0)),"")</f>
        <v/>
      </c>
      <c r="M111" s="300"/>
      <c r="N111" s="301"/>
    </row>
    <row r="112" spans="1:14" s="282" customFormat="1" ht="19.5" customHeight="1">
      <c r="A112" s="600"/>
      <c r="B112" s="604"/>
      <c r="C112" s="604"/>
      <c r="D112" s="324"/>
      <c r="E112" s="303"/>
      <c r="F112" s="325"/>
      <c r="G112" s="305"/>
      <c r="H112" s="326"/>
      <c r="I112" s="305"/>
      <c r="J112" s="326"/>
      <c r="K112" s="307"/>
      <c r="L112" s="308" t="str">
        <f>IF(ISNUMBER(K112),(ROUNDDOWN(PRODUCT(E112,G112,I112,K112)/1000,0)),"")</f>
        <v/>
      </c>
      <c r="M112" s="309"/>
      <c r="N112" s="310"/>
    </row>
    <row r="113" spans="1:14" s="282" customFormat="1" ht="18.75" customHeight="1">
      <c r="A113" s="600"/>
      <c r="B113" s="604"/>
      <c r="C113" s="604"/>
      <c r="D113" s="311"/>
      <c r="E113" s="312"/>
      <c r="F113" s="313"/>
      <c r="G113" s="314"/>
      <c r="H113" s="315"/>
      <c r="I113" s="314"/>
      <c r="J113" s="315"/>
      <c r="K113" s="316"/>
      <c r="L113" s="317" t="str">
        <f>IF(ISNUMBER(K113),(ROUNDDOWN(PRODUCT(E113,G113,I113,K113)/1000,0)),"")</f>
        <v/>
      </c>
      <c r="M113" s="318"/>
      <c r="N113" s="319"/>
    </row>
    <row r="114" spans="1:14" s="282" customFormat="1" ht="18.75" customHeight="1">
      <c r="A114" s="600"/>
      <c r="B114" s="604"/>
      <c r="C114" s="604"/>
      <c r="D114" s="602" t="s">
        <v>396</v>
      </c>
      <c r="E114" s="602"/>
      <c r="F114" s="602"/>
      <c r="G114" s="602"/>
      <c r="H114" s="602"/>
      <c r="I114" s="602"/>
      <c r="J114" s="602"/>
      <c r="K114" s="602"/>
      <c r="L114" s="320">
        <f>SUM(L111:L113)</f>
        <v>0</v>
      </c>
      <c r="M114" s="603"/>
      <c r="N114" s="603"/>
    </row>
    <row r="115" spans="1:14" s="282" customFormat="1" ht="18.75" customHeight="1">
      <c r="A115" s="600"/>
      <c r="B115" s="601" t="s">
        <v>358</v>
      </c>
      <c r="C115" s="601"/>
      <c r="D115" s="293" t="s">
        <v>440</v>
      </c>
      <c r="E115" s="294">
        <v>1</v>
      </c>
      <c r="F115" s="295" t="s">
        <v>410</v>
      </c>
      <c r="G115" s="296">
        <v>1</v>
      </c>
      <c r="H115" s="297" t="s">
        <v>401</v>
      </c>
      <c r="I115" s="296">
        <v>1</v>
      </c>
      <c r="J115" s="297" t="s">
        <v>392</v>
      </c>
      <c r="K115" s="298">
        <v>1500000</v>
      </c>
      <c r="L115" s="204">
        <f>IF(ISNUMBER(K115),(ROUNDDOWN(PRODUCT(E115,G115,I115,K115)/1000,0)),"")</f>
        <v>1500</v>
      </c>
      <c r="M115" s="300"/>
      <c r="N115" s="301"/>
    </row>
    <row r="116" spans="1:14" s="282" customFormat="1" ht="18.75" customHeight="1">
      <c r="A116" s="600"/>
      <c r="B116" s="601"/>
      <c r="C116" s="601"/>
      <c r="D116" s="324" t="s">
        <v>441</v>
      </c>
      <c r="E116" s="303">
        <v>1</v>
      </c>
      <c r="F116" s="325" t="s">
        <v>410</v>
      </c>
      <c r="G116" s="305">
        <v>1</v>
      </c>
      <c r="H116" s="326" t="s">
        <v>401</v>
      </c>
      <c r="I116" s="305">
        <v>1</v>
      </c>
      <c r="J116" s="326" t="s">
        <v>392</v>
      </c>
      <c r="K116" s="307">
        <v>500000</v>
      </c>
      <c r="L116" s="214">
        <f>IF(ISNUMBER(K116),(ROUNDDOWN(PRODUCT(E116,G116,I116,K116)/1000,0)),"")</f>
        <v>500</v>
      </c>
      <c r="M116" s="309"/>
      <c r="N116" s="310"/>
    </row>
    <row r="117" spans="1:14" s="282" customFormat="1" ht="18.75" customHeight="1">
      <c r="A117" s="600"/>
      <c r="B117" s="601"/>
      <c r="C117" s="601"/>
      <c r="D117" s="324"/>
      <c r="E117" s="303"/>
      <c r="F117" s="325"/>
      <c r="G117" s="305"/>
      <c r="H117" s="326"/>
      <c r="I117" s="305"/>
      <c r="J117" s="326"/>
      <c r="K117" s="307"/>
      <c r="L117" s="214" t="str">
        <f>IF(ISNUMBER(K117),(ROUNDDOWN(PRODUCT(E117,G117,I117,K117)/1000,0)),"")</f>
        <v/>
      </c>
      <c r="M117" s="309"/>
      <c r="N117" s="310"/>
    </row>
    <row r="118" spans="1:14" s="282" customFormat="1" ht="18.75" customHeight="1">
      <c r="A118" s="600"/>
      <c r="B118" s="601"/>
      <c r="C118" s="601"/>
      <c r="D118" s="311"/>
      <c r="E118" s="312"/>
      <c r="F118" s="313"/>
      <c r="G118" s="314"/>
      <c r="H118" s="315"/>
      <c r="I118" s="314"/>
      <c r="J118" s="315"/>
      <c r="K118" s="316"/>
      <c r="L118" s="223" t="str">
        <f>IF(ISNUMBER(K118),(ROUNDDOWN(PRODUCT(E118,G118,I118,K118)/1000,0)),"")</f>
        <v/>
      </c>
      <c r="M118" s="318"/>
      <c r="N118" s="319"/>
    </row>
    <row r="119" spans="1:14" s="282" customFormat="1" ht="18.75" customHeight="1">
      <c r="A119" s="600"/>
      <c r="B119" s="601"/>
      <c r="C119" s="601"/>
      <c r="D119" s="602" t="s">
        <v>396</v>
      </c>
      <c r="E119" s="602"/>
      <c r="F119" s="602"/>
      <c r="G119" s="602"/>
      <c r="H119" s="602"/>
      <c r="I119" s="602"/>
      <c r="J119" s="602"/>
      <c r="K119" s="602"/>
      <c r="L119" s="321">
        <f>SUM(L115:L118)</f>
        <v>2000</v>
      </c>
      <c r="M119" s="603"/>
      <c r="N119" s="603"/>
    </row>
    <row r="120" spans="1:14" s="282" customFormat="1" ht="18.75" customHeight="1">
      <c r="A120" s="600"/>
      <c r="B120" s="601" t="s">
        <v>359</v>
      </c>
      <c r="C120" s="601"/>
      <c r="D120" s="293"/>
      <c r="E120" s="294"/>
      <c r="F120" s="295"/>
      <c r="G120" s="296"/>
      <c r="H120" s="297"/>
      <c r="I120" s="296"/>
      <c r="J120" s="297"/>
      <c r="K120" s="298"/>
      <c r="L120" s="204" t="str">
        <f>IF(ISNUMBER(K120),(ROUNDDOWN(PRODUCT(E120,G120,I120,K120)/1000,0)),"")</f>
        <v/>
      </c>
      <c r="M120" s="300"/>
      <c r="N120" s="301"/>
    </row>
    <row r="121" spans="1:14" s="282" customFormat="1" ht="18.75" customHeight="1">
      <c r="A121" s="600"/>
      <c r="B121" s="601"/>
      <c r="C121" s="601"/>
      <c r="D121" s="324"/>
      <c r="E121" s="303"/>
      <c r="F121" s="325"/>
      <c r="G121" s="305"/>
      <c r="H121" s="326"/>
      <c r="I121" s="305"/>
      <c r="J121" s="326"/>
      <c r="K121" s="307"/>
      <c r="L121" s="214" t="str">
        <f>IF(ISNUMBER(K121),(ROUNDDOWN(PRODUCT(E121,G121,I121,K121)/1000,0)),"")</f>
        <v/>
      </c>
      <c r="M121" s="309"/>
      <c r="N121" s="310"/>
    </row>
    <row r="122" spans="1:14" s="282" customFormat="1" ht="18.75" customHeight="1">
      <c r="A122" s="600"/>
      <c r="B122" s="601"/>
      <c r="C122" s="601"/>
      <c r="D122" s="324"/>
      <c r="E122" s="303"/>
      <c r="F122" s="325"/>
      <c r="G122" s="305"/>
      <c r="H122" s="326"/>
      <c r="I122" s="305"/>
      <c r="J122" s="326"/>
      <c r="K122" s="307"/>
      <c r="L122" s="214" t="str">
        <f>IF(ISNUMBER(K122),(ROUNDDOWN(PRODUCT(E122,G122,I122,K122)/1000,0)),"")</f>
        <v/>
      </c>
      <c r="M122" s="309"/>
      <c r="N122" s="310"/>
    </row>
    <row r="123" spans="1:14" s="282" customFormat="1" ht="18.75" customHeight="1">
      <c r="A123" s="600"/>
      <c r="B123" s="601"/>
      <c r="C123" s="601"/>
      <c r="D123" s="311"/>
      <c r="E123" s="312"/>
      <c r="F123" s="313"/>
      <c r="G123" s="314"/>
      <c r="H123" s="315"/>
      <c r="I123" s="314"/>
      <c r="J123" s="315"/>
      <c r="K123" s="316"/>
      <c r="L123" s="223" t="str">
        <f>IF(ISNUMBER(K123),(ROUNDDOWN(PRODUCT(E123,G123,I123,K123)/1000,0)),"")</f>
        <v/>
      </c>
      <c r="M123" s="318"/>
      <c r="N123" s="319"/>
    </row>
    <row r="124" spans="1:14" s="282" customFormat="1" ht="18.75" customHeight="1">
      <c r="A124" s="600"/>
      <c r="B124" s="601"/>
      <c r="C124" s="601"/>
      <c r="D124" s="602" t="s">
        <v>396</v>
      </c>
      <c r="E124" s="602"/>
      <c r="F124" s="602"/>
      <c r="G124" s="602"/>
      <c r="H124" s="602"/>
      <c r="I124" s="602"/>
      <c r="J124" s="602"/>
      <c r="K124" s="602"/>
      <c r="L124" s="321">
        <f>SUM(L120:L123)</f>
        <v>0</v>
      </c>
      <c r="M124" s="603"/>
      <c r="N124" s="603"/>
    </row>
    <row r="125" spans="1:14" s="282" customFormat="1" ht="22.5" customHeight="1">
      <c r="A125" s="600" t="s">
        <v>442</v>
      </c>
      <c r="B125" s="600"/>
      <c r="C125" s="600"/>
      <c r="D125" s="605"/>
      <c r="E125" s="605"/>
      <c r="F125" s="605"/>
      <c r="G125" s="605"/>
      <c r="H125" s="605"/>
      <c r="I125" s="605"/>
      <c r="J125" s="605"/>
      <c r="K125" s="605"/>
      <c r="L125" s="327"/>
      <c r="M125" s="606"/>
      <c r="N125" s="606"/>
    </row>
    <row r="126" spans="1:14" s="282" customFormat="1" ht="22.5" customHeight="1">
      <c r="A126" s="600" t="s">
        <v>443</v>
      </c>
      <c r="B126" s="600"/>
      <c r="C126" s="600"/>
      <c r="D126" s="600"/>
      <c r="E126" s="600"/>
      <c r="F126" s="600"/>
      <c r="G126" s="600"/>
      <c r="H126" s="600"/>
      <c r="I126" s="600"/>
      <c r="J126" s="600"/>
      <c r="K126" s="600"/>
      <c r="L126" s="323">
        <f>SUM(L90,L94,L98,L102,L106,L110,L114,L119,L124,L125)</f>
        <v>5000</v>
      </c>
      <c r="M126" s="603"/>
      <c r="N126" s="603"/>
    </row>
    <row r="127" spans="1:14" s="282" customFormat="1" ht="18.75" customHeight="1">
      <c r="A127" s="607" t="s">
        <v>466</v>
      </c>
      <c r="B127" s="607"/>
      <c r="C127" s="607"/>
      <c r="D127" s="328"/>
      <c r="E127" s="329"/>
      <c r="F127" s="330"/>
      <c r="G127" s="329"/>
      <c r="H127" s="331"/>
      <c r="I127" s="329"/>
      <c r="J127" s="331"/>
      <c r="K127" s="332"/>
      <c r="L127" s="333" t="str">
        <f>IF(ISNUMBER(K127),(PRODUCT(E127,G127,I127,K127)),"")</f>
        <v/>
      </c>
      <c r="M127" s="334"/>
      <c r="N127" s="335"/>
    </row>
    <row r="128" spans="1:14" s="282" customFormat="1" ht="18.75" customHeight="1">
      <c r="A128" s="607"/>
      <c r="B128" s="607"/>
      <c r="C128" s="607"/>
      <c r="D128" s="336"/>
      <c r="E128" s="305"/>
      <c r="F128" s="325"/>
      <c r="G128" s="305"/>
      <c r="H128" s="326"/>
      <c r="I128" s="305"/>
      <c r="J128" s="326"/>
      <c r="K128" s="337"/>
      <c r="L128" s="308" t="str">
        <f>IF(ISNUMBER(K128),(PRODUCT(E128,G128,I128,K128)),"")</f>
        <v/>
      </c>
      <c r="M128" s="309"/>
      <c r="N128" s="310"/>
    </row>
    <row r="129" spans="1:14" s="282" customFormat="1" ht="18.75" customHeight="1">
      <c r="A129" s="607"/>
      <c r="B129" s="607"/>
      <c r="C129" s="607"/>
      <c r="D129" s="338"/>
      <c r="E129" s="314"/>
      <c r="F129" s="313"/>
      <c r="G129" s="314"/>
      <c r="H129" s="315"/>
      <c r="I129" s="314"/>
      <c r="J129" s="315"/>
      <c r="K129" s="339"/>
      <c r="L129" s="317" t="str">
        <f>IF(ISNUMBER(K129),(PRODUCT(E129,G129,I129,K129)),"")</f>
        <v/>
      </c>
      <c r="M129" s="318"/>
      <c r="N129" s="319"/>
    </row>
    <row r="130" spans="1:14" s="282" customFormat="1" ht="18.75" customHeight="1">
      <c r="A130" s="607"/>
      <c r="B130" s="607"/>
      <c r="C130" s="607"/>
      <c r="D130" s="608" t="s">
        <v>396</v>
      </c>
      <c r="E130" s="608"/>
      <c r="F130" s="608"/>
      <c r="G130" s="608"/>
      <c r="H130" s="608"/>
      <c r="I130" s="608"/>
      <c r="J130" s="608"/>
      <c r="K130" s="608"/>
      <c r="L130" s="340">
        <f>SUM(L127:L129)</f>
        <v>0</v>
      </c>
      <c r="M130" s="609"/>
      <c r="N130" s="609"/>
    </row>
    <row r="131" spans="1:14" s="282" customFormat="1" ht="22.5" customHeight="1">
      <c r="A131" s="610" t="s">
        <v>458</v>
      </c>
      <c r="B131" s="610"/>
      <c r="C131" s="610"/>
      <c r="D131" s="610"/>
      <c r="E131" s="610"/>
      <c r="F131" s="610"/>
      <c r="G131" s="610"/>
      <c r="H131" s="610"/>
      <c r="I131" s="610"/>
      <c r="J131" s="610"/>
      <c r="K131" s="610"/>
      <c r="L131" s="341">
        <f>L126-L130</f>
        <v>5000</v>
      </c>
      <c r="M131" s="611"/>
      <c r="N131" s="611"/>
    </row>
  </sheetData>
  <mergeCells count="96">
    <mergeCell ref="A127:C130"/>
    <mergeCell ref="D130:K130"/>
    <mergeCell ref="M130:N130"/>
    <mergeCell ref="A131:K131"/>
    <mergeCell ref="M131:N131"/>
    <mergeCell ref="A125:C125"/>
    <mergeCell ref="D125:K125"/>
    <mergeCell ref="M125:N125"/>
    <mergeCell ref="A126:K126"/>
    <mergeCell ref="M126:N126"/>
    <mergeCell ref="B115:C119"/>
    <mergeCell ref="D119:K119"/>
    <mergeCell ref="M119:N119"/>
    <mergeCell ref="B120:C124"/>
    <mergeCell ref="D124:K124"/>
    <mergeCell ref="M124:N124"/>
    <mergeCell ref="M106:N106"/>
    <mergeCell ref="B107:C110"/>
    <mergeCell ref="D110:K110"/>
    <mergeCell ref="M110:N110"/>
    <mergeCell ref="B111:C114"/>
    <mergeCell ref="D114:K114"/>
    <mergeCell ref="M114:N114"/>
    <mergeCell ref="A86:A90"/>
    <mergeCell ref="B86:C90"/>
    <mergeCell ref="D90:K90"/>
    <mergeCell ref="M90:N90"/>
    <mergeCell ref="A91:A124"/>
    <mergeCell ref="B91:C94"/>
    <mergeCell ref="D94:K94"/>
    <mergeCell ref="M94:N94"/>
    <mergeCell ref="B95:C98"/>
    <mergeCell ref="D98:K98"/>
    <mergeCell ref="M98:N98"/>
    <mergeCell ref="B99:C102"/>
    <mergeCell ref="D102:K102"/>
    <mergeCell ref="M102:N102"/>
    <mergeCell ref="B103:C106"/>
    <mergeCell ref="D106:K106"/>
    <mergeCell ref="A76:K76"/>
    <mergeCell ref="M76:N76"/>
    <mergeCell ref="A82:B82"/>
    <mergeCell ref="C82:K82"/>
    <mergeCell ref="B85:C85"/>
    <mergeCell ref="E85:F85"/>
    <mergeCell ref="G85:H85"/>
    <mergeCell ref="I85:J85"/>
    <mergeCell ref="A68:K68"/>
    <mergeCell ref="M68:N68"/>
    <mergeCell ref="A69:K69"/>
    <mergeCell ref="M69:N69"/>
    <mergeCell ref="A70:C75"/>
    <mergeCell ref="D75:K75"/>
    <mergeCell ref="M75:N75"/>
    <mergeCell ref="A64:K64"/>
    <mergeCell ref="M64:N67"/>
    <mergeCell ref="A65:G67"/>
    <mergeCell ref="H65:K65"/>
    <mergeCell ref="H66:K66"/>
    <mergeCell ref="H67:K67"/>
    <mergeCell ref="B58:C62"/>
    <mergeCell ref="D62:K62"/>
    <mergeCell ref="M62:N62"/>
    <mergeCell ref="A63:C63"/>
    <mergeCell ref="D63:K63"/>
    <mergeCell ref="M63:N63"/>
    <mergeCell ref="M46:N46"/>
    <mergeCell ref="B47:C51"/>
    <mergeCell ref="D51:K51"/>
    <mergeCell ref="M51:N51"/>
    <mergeCell ref="B52:C57"/>
    <mergeCell ref="D57:K57"/>
    <mergeCell ref="M57:N57"/>
    <mergeCell ref="M18:N18"/>
    <mergeCell ref="A19:A62"/>
    <mergeCell ref="B19:C26"/>
    <mergeCell ref="D26:K26"/>
    <mergeCell ref="M26:N26"/>
    <mergeCell ref="B27:C31"/>
    <mergeCell ref="D31:K31"/>
    <mergeCell ref="M31:N31"/>
    <mergeCell ref="B32:C36"/>
    <mergeCell ref="D36:K36"/>
    <mergeCell ref="M36:N36"/>
    <mergeCell ref="B37:C41"/>
    <mergeCell ref="D41:K41"/>
    <mergeCell ref="M41:N41"/>
    <mergeCell ref="B42:C46"/>
    <mergeCell ref="D46:K46"/>
    <mergeCell ref="B13:C13"/>
    <mergeCell ref="E13:F13"/>
    <mergeCell ref="G13:H13"/>
    <mergeCell ref="I13:J13"/>
    <mergeCell ref="A14:A18"/>
    <mergeCell ref="B14:C18"/>
    <mergeCell ref="D18:K18"/>
  </mergeCells>
  <phoneticPr fontId="77"/>
  <conditionalFormatting sqref="L65:L68">
    <cfRule type="expression" dxfId="1" priority="2">
      <formula>$P$67="2"</formula>
    </cfRule>
    <cfRule type="expression" dxfId="0" priority="3">
      <formula>$P$67="3"</formula>
    </cfRule>
  </conditionalFormatting>
  <dataValidations count="1">
    <dataValidation type="list" allowBlank="1" showInputMessage="1" showErrorMessage="1" sqref="M14:N17 M19:N25 M27:N30 M32:N35 M37:N40 M42:N45 M47:N50 M52:N56 M58:N61 M86:N89 M91:N93 M95:N97 M99:N101 M103:N105 M107:N109 M111:N113 M115:N118 M120:N123 M127:N129" xr:uid="{00000000-0002-0000-0B00-000000000000}">
      <formula1>"○"</formula1>
      <formula2>0</formula2>
    </dataValidation>
  </dataValidations>
  <pageMargins left="0.51180555555555596" right="0.51180555555555596" top="0.55138888888888904" bottom="0.55138888888888904" header="0.511811023622047" footer="0.511811023622047"/>
  <pageSetup paperSize="9" fitToHeight="0" orientation="portrait" horizontalDpi="300" verticalDpi="300"/>
  <rowBreaks count="1" manualBreakCount="1">
    <brk id="57"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pageSetUpPr fitToPage="1"/>
  </sheetPr>
  <dimension ref="B1:G32"/>
  <sheetViews>
    <sheetView zoomScaleNormal="100" workbookViewId="0">
      <selection activeCell="F17" sqref="F17"/>
    </sheetView>
  </sheetViews>
  <sheetFormatPr defaultColWidth="9" defaultRowHeight="13"/>
  <cols>
    <col min="1" max="1" width="2" style="354" customWidth="1"/>
    <col min="2" max="2" width="6.1640625" style="354" customWidth="1"/>
    <col min="3" max="3" width="8.6640625" style="354" customWidth="1"/>
    <col min="4" max="4" width="33.9140625" style="354" customWidth="1"/>
    <col min="5" max="5" width="21.4140625" style="354" customWidth="1"/>
    <col min="6" max="6" width="38" style="354" customWidth="1"/>
    <col min="7" max="7" width="6.1640625" style="354" customWidth="1"/>
    <col min="8" max="16384" width="9" style="354"/>
  </cols>
  <sheetData>
    <row r="1" spans="2:7" ht="22.5" customHeight="1">
      <c r="D1" s="613"/>
      <c r="E1" s="613"/>
      <c r="F1" s="613"/>
      <c r="G1" s="613"/>
    </row>
    <row r="2" spans="2:7" ht="22.5" customHeight="1"/>
    <row r="3" spans="2:7" ht="22.5" customHeight="1">
      <c r="B3" s="411" t="s">
        <v>467</v>
      </c>
      <c r="C3" s="411"/>
      <c r="D3" s="411"/>
      <c r="E3" s="411"/>
      <c r="F3" s="411"/>
      <c r="G3" s="411"/>
    </row>
    <row r="4" spans="2:7" ht="22.5" customHeight="1">
      <c r="D4" s="355"/>
      <c r="E4" s="355"/>
      <c r="F4" s="355"/>
      <c r="G4" s="355"/>
    </row>
    <row r="5" spans="2:7" ht="75.75" customHeight="1">
      <c r="C5" s="614" t="s">
        <v>468</v>
      </c>
      <c r="D5" s="614"/>
      <c r="E5" s="614"/>
      <c r="F5" s="614"/>
      <c r="G5" s="1"/>
    </row>
    <row r="6" spans="2:7" ht="22.5" customHeight="1">
      <c r="D6" s="1"/>
      <c r="E6" s="1"/>
      <c r="F6" s="1"/>
      <c r="G6" s="1"/>
    </row>
    <row r="7" spans="2:7" ht="22.5" customHeight="1">
      <c r="B7" s="615" t="s">
        <v>16</v>
      </c>
      <c r="C7" s="615"/>
      <c r="D7" s="615"/>
      <c r="E7" s="615"/>
      <c r="F7" s="615"/>
      <c r="G7" s="615"/>
    </row>
    <row r="8" spans="2:7" ht="22.5" customHeight="1">
      <c r="D8" s="2"/>
      <c r="E8" s="2"/>
      <c r="F8" s="2"/>
      <c r="G8" s="2"/>
    </row>
    <row r="9" spans="2:7" ht="220.5" customHeight="1">
      <c r="D9" s="612" t="s">
        <v>469</v>
      </c>
      <c r="E9" s="612"/>
      <c r="F9" s="612"/>
      <c r="G9" s="356"/>
    </row>
    <row r="10" spans="2:7" ht="98.25" customHeight="1">
      <c r="D10" s="612" t="s">
        <v>470</v>
      </c>
      <c r="E10" s="612"/>
      <c r="F10" s="612"/>
      <c r="G10" s="357"/>
    </row>
    <row r="11" spans="2:7" ht="22.5" customHeight="1">
      <c r="D11" s="1"/>
      <c r="E11" s="1"/>
      <c r="F11" s="1"/>
      <c r="G11" s="1"/>
    </row>
    <row r="12" spans="2:7" ht="22.5" customHeight="1">
      <c r="D12" s="358" t="s">
        <v>471</v>
      </c>
      <c r="E12" s="359"/>
      <c r="F12" s="359"/>
      <c r="G12" s="359"/>
    </row>
    <row r="13" spans="2:7" ht="22.5" customHeight="1">
      <c r="D13" s="1"/>
      <c r="E13" s="360" t="s">
        <v>472</v>
      </c>
      <c r="F13" s="361" t="s">
        <v>473</v>
      </c>
      <c r="G13" s="362"/>
    </row>
    <row r="14" spans="2:7" ht="22.5" customHeight="1">
      <c r="D14" s="1"/>
      <c r="E14" s="355"/>
      <c r="F14" s="363" t="s">
        <v>474</v>
      </c>
      <c r="G14" s="62"/>
    </row>
    <row r="15" spans="2:7" ht="22.5" customHeight="1">
      <c r="D15" s="1"/>
      <c r="E15" s="360" t="s">
        <v>50</v>
      </c>
      <c r="F15" s="364" t="s">
        <v>8</v>
      </c>
      <c r="G15" s="1"/>
    </row>
    <row r="16" spans="2:7" ht="22.5" customHeight="1">
      <c r="D16" s="1"/>
      <c r="E16" s="360" t="s">
        <v>475</v>
      </c>
      <c r="F16" s="364" t="s">
        <v>14</v>
      </c>
      <c r="G16" s="1"/>
    </row>
    <row r="17" spans="4:7" ht="22.5" customHeight="1">
      <c r="D17" s="1"/>
      <c r="E17" s="1"/>
      <c r="F17" s="1"/>
      <c r="G17" s="1"/>
    </row>
    <row r="18" spans="4:7" ht="22.5" customHeight="1">
      <c r="D18" s="365" t="s">
        <v>476</v>
      </c>
      <c r="E18" s="366"/>
      <c r="F18" s="366"/>
      <c r="G18" s="366"/>
    </row>
    <row r="19" spans="4:7" ht="22.5" customHeight="1">
      <c r="D19" s="365"/>
      <c r="E19" s="366"/>
      <c r="F19" s="366"/>
      <c r="G19" s="366"/>
    </row>
    <row r="20" spans="4:7" ht="22.5" customHeight="1">
      <c r="D20" s="365"/>
      <c r="E20" s="366"/>
      <c r="F20" s="366"/>
      <c r="G20" s="366"/>
    </row>
    <row r="27" spans="4:7" ht="14.25" customHeight="1"/>
    <row r="31" spans="4:7" ht="14.25" customHeight="1"/>
    <row r="32" spans="4:7" ht="14.25" customHeight="1"/>
  </sheetData>
  <mergeCells count="6">
    <mergeCell ref="D10:F10"/>
    <mergeCell ref="D1:G1"/>
    <mergeCell ref="B3:G3"/>
    <mergeCell ref="C5:F5"/>
    <mergeCell ref="B7:G7"/>
    <mergeCell ref="D9:F9"/>
  </mergeCells>
  <phoneticPr fontId="77"/>
  <pageMargins left="0.70833333333333304" right="0.70833333333333304" top="0.74791666666666701" bottom="0.74791666666666701" header="0.511811023622047" footer="0.511811023622047"/>
  <pageSetup paperSize="9" firstPageNumber="24" fitToHeight="0" orientation="portrait" useFirstPageNumber="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V154"/>
  <sheetViews>
    <sheetView topLeftCell="A119" zoomScale="70" zoomScaleNormal="70" workbookViewId="0">
      <selection activeCell="H8" sqref="H8"/>
    </sheetView>
  </sheetViews>
  <sheetFormatPr defaultColWidth="8.5" defaultRowHeight="18"/>
  <cols>
    <col min="1" max="1" width="11.9140625" style="367" customWidth="1"/>
    <col min="2" max="2" width="33.9140625" style="367" customWidth="1"/>
    <col min="3" max="3" width="28.6640625" style="367" customWidth="1"/>
    <col min="4" max="4" width="19.1640625" style="367" customWidth="1"/>
    <col min="5" max="6" width="6.6640625" style="367" customWidth="1"/>
    <col min="7" max="7" width="14.1640625" style="367" customWidth="1"/>
    <col min="8" max="8" width="8.1640625" style="367" customWidth="1"/>
    <col min="9" max="9" width="9.5" style="367" customWidth="1"/>
    <col min="10" max="12" width="6.5" style="367" customWidth="1"/>
    <col min="13" max="14" width="5.9140625" style="367" customWidth="1"/>
    <col min="15" max="22" width="3" style="367" customWidth="1"/>
  </cols>
  <sheetData>
    <row r="1" spans="1:5" ht="18" customHeight="1">
      <c r="A1" s="616" t="s">
        <v>477</v>
      </c>
      <c r="B1" s="368" t="s">
        <v>478</v>
      </c>
      <c r="C1" s="368" t="str">
        <f>表紙!N8</f>
        <v>令和８年　　月　　日</v>
      </c>
      <c r="D1" s="368"/>
      <c r="E1" s="368"/>
    </row>
    <row r="2" spans="1:5" ht="18" customHeight="1">
      <c r="A2" s="616"/>
      <c r="B2" s="369" t="s">
        <v>50</v>
      </c>
      <c r="C2" s="368" t="str">
        <f>表紙!K14</f>
        <v>デジタルハリウッド株式会社</v>
      </c>
      <c r="D2" s="368"/>
      <c r="E2" s="368"/>
    </row>
    <row r="3" spans="1:5" ht="18" customHeight="1">
      <c r="A3" s="616"/>
      <c r="B3" s="16" t="s">
        <v>9</v>
      </c>
      <c r="C3" s="368" t="str">
        <f>表紙!K16</f>
        <v>〒101-0062</v>
      </c>
      <c r="D3" s="368"/>
      <c r="E3" s="368"/>
    </row>
    <row r="4" spans="1:5" ht="18" customHeight="1">
      <c r="A4" s="616"/>
      <c r="B4" s="368" t="s">
        <v>11</v>
      </c>
      <c r="C4" s="368" t="str">
        <f>表紙!K17</f>
        <v>東京都千代田区神田駿河台4-6 御茶ノ水ソラシティ アカデミア 4F</v>
      </c>
      <c r="D4" s="368"/>
      <c r="E4" s="368"/>
    </row>
    <row r="5" spans="1:5" ht="18" customHeight="1">
      <c r="A5" s="616"/>
      <c r="B5" s="368" t="s">
        <v>13</v>
      </c>
      <c r="C5" s="368" t="str">
        <f>表紙!K19</f>
        <v>代表取締役社長兼CEO　藤井雅徳</v>
      </c>
      <c r="D5" s="368"/>
      <c r="E5" s="368"/>
    </row>
    <row r="6" spans="1:5" ht="62.25" customHeight="1">
      <c r="A6" s="616"/>
      <c r="B6" s="370" t="s">
        <v>17</v>
      </c>
      <c r="C6" s="370" t="str">
        <f>表紙!H27</f>
        <v>AI・バーチャルプロダクションを活用した3DCG制作人材育成事業 
─ AI時代の3DCG制作フロー高度化を担う中核人材の育成 ─</v>
      </c>
      <c r="D6" s="368"/>
      <c r="E6" s="368"/>
    </row>
    <row r="7" spans="1:5" ht="18" customHeight="1">
      <c r="A7" s="616"/>
      <c r="B7" s="368" t="s">
        <v>20</v>
      </c>
      <c r="C7" s="368" t="str">
        <f>表紙!H28</f>
        <v>交付内定日～令和１１年３月３１日</v>
      </c>
      <c r="D7" s="368"/>
      <c r="E7" s="368"/>
    </row>
    <row r="8" spans="1:5" ht="18" customHeight="1">
      <c r="A8" s="616"/>
      <c r="B8" s="368" t="s">
        <v>22</v>
      </c>
      <c r="C8" s="368" t="str">
        <f>表紙!H29</f>
        <v>映像</v>
      </c>
      <c r="D8" s="368"/>
      <c r="E8" s="368"/>
    </row>
    <row r="9" spans="1:5" ht="18" customHeight="1">
      <c r="A9" s="616"/>
      <c r="B9" s="368" t="s">
        <v>24</v>
      </c>
      <c r="C9" s="368">
        <f>表紙!H30</f>
        <v>0</v>
      </c>
      <c r="D9" s="368"/>
      <c r="E9" s="368"/>
    </row>
    <row r="10" spans="1:5" ht="18" customHeight="1">
      <c r="A10" s="616"/>
      <c r="B10" s="368" t="s">
        <v>479</v>
      </c>
      <c r="C10" s="371">
        <f>表紙!H31</f>
        <v>191318</v>
      </c>
      <c r="D10" s="371"/>
      <c r="E10" s="371"/>
    </row>
    <row r="11" spans="1:5" ht="18" customHeight="1">
      <c r="A11" s="616"/>
      <c r="B11" s="368" t="s">
        <v>480</v>
      </c>
      <c r="C11" s="368" t="str">
        <f>表紙!G34</f>
        <v>デジタルハリウッド大学 学長</v>
      </c>
      <c r="D11" s="368"/>
      <c r="E11" s="368"/>
    </row>
    <row r="12" spans="1:5" ht="18" customHeight="1">
      <c r="A12" s="616"/>
      <c r="B12" s="368" t="s">
        <v>481</v>
      </c>
      <c r="C12" s="368" t="str">
        <f>表紙!G35</f>
        <v>フジイ ナオタカ</v>
      </c>
      <c r="D12" s="368"/>
      <c r="E12" s="368"/>
    </row>
    <row r="13" spans="1:5" ht="18" customHeight="1">
      <c r="A13" s="616"/>
      <c r="B13" s="368" t="s">
        <v>482</v>
      </c>
      <c r="C13" s="368" t="str">
        <f>表紙!G36</f>
        <v>藤井 直敬</v>
      </c>
      <c r="D13" s="368"/>
      <c r="E13" s="368"/>
    </row>
    <row r="14" spans="1:5" ht="18" customHeight="1">
      <c r="A14" s="616"/>
      <c r="B14" s="368" t="s">
        <v>483</v>
      </c>
      <c r="C14" s="368" t="str">
        <f>表紙!M34</f>
        <v>【要記入：電話】</v>
      </c>
      <c r="D14" s="368"/>
      <c r="E14" s="368"/>
    </row>
    <row r="15" spans="1:5" ht="18" customHeight="1">
      <c r="A15" s="616"/>
      <c r="B15" s="368" t="s">
        <v>484</v>
      </c>
      <c r="C15" s="368" t="str">
        <f>表紙!M35</f>
        <v>【要記入：メール】</v>
      </c>
      <c r="D15" s="368"/>
      <c r="E15" s="368"/>
    </row>
    <row r="16" spans="1:5" ht="18" customHeight="1">
      <c r="A16" s="616"/>
      <c r="B16" s="368" t="s">
        <v>485</v>
      </c>
      <c r="C16" s="368" t="str">
        <f>表紙!G37</f>
        <v>【要記入：所属・職名】</v>
      </c>
      <c r="D16" s="368"/>
      <c r="E16" s="368"/>
    </row>
    <row r="17" spans="1:5" ht="18" customHeight="1">
      <c r="A17" s="616"/>
      <c r="B17" s="368" t="s">
        <v>486</v>
      </c>
      <c r="C17" s="368" t="str">
        <f>表紙!G38</f>
        <v>【要記入：フリガナ】</v>
      </c>
      <c r="D17" s="368"/>
      <c r="E17" s="368"/>
    </row>
    <row r="18" spans="1:5" ht="18" customHeight="1">
      <c r="A18" s="616"/>
      <c r="B18" s="368" t="s">
        <v>487</v>
      </c>
      <c r="C18" s="368" t="str">
        <f>表紙!G39</f>
        <v>【要記入：氏名】</v>
      </c>
      <c r="D18" s="368"/>
      <c r="E18" s="368"/>
    </row>
    <row r="19" spans="1:5" ht="18" customHeight="1">
      <c r="A19" s="616"/>
      <c r="B19" s="368" t="s">
        <v>488</v>
      </c>
      <c r="C19" s="368" t="str">
        <f>表紙!M37</f>
        <v>【要記入：電話】</v>
      </c>
      <c r="D19" s="368"/>
      <c r="E19" s="368"/>
    </row>
    <row r="20" spans="1:5" ht="18" customHeight="1">
      <c r="A20" s="616"/>
      <c r="B20" s="368" t="s">
        <v>489</v>
      </c>
      <c r="C20" s="368" t="str">
        <f>表紙!M38</f>
        <v>【要記入：メール】</v>
      </c>
      <c r="D20" s="368"/>
      <c r="E20" s="368"/>
    </row>
    <row r="21" spans="1:5" ht="18" customHeight="1">
      <c r="A21" s="616"/>
      <c r="B21" s="368" t="s">
        <v>490</v>
      </c>
      <c r="C21" s="368" t="str">
        <f>表紙!G40</f>
        <v>【要記入：所属・職名】</v>
      </c>
      <c r="D21" s="368"/>
      <c r="E21" s="368"/>
    </row>
    <row r="22" spans="1:5" ht="18" customHeight="1">
      <c r="A22" s="616"/>
      <c r="B22" s="368" t="s">
        <v>491</v>
      </c>
      <c r="C22" s="368" t="str">
        <f>表紙!G41</f>
        <v>【要記入：フリガナ】</v>
      </c>
      <c r="D22" s="368"/>
      <c r="E22" s="368"/>
    </row>
    <row r="23" spans="1:5" ht="18" customHeight="1">
      <c r="A23" s="616"/>
      <c r="B23" s="368" t="s">
        <v>492</v>
      </c>
      <c r="C23" s="368" t="str">
        <f>表紙!G42</f>
        <v>【要記入：氏名】</v>
      </c>
      <c r="D23" s="368"/>
      <c r="E23" s="368"/>
    </row>
    <row r="24" spans="1:5" ht="18" customHeight="1">
      <c r="A24" s="616"/>
      <c r="B24" s="368" t="s">
        <v>493</v>
      </c>
      <c r="C24" s="368" t="str">
        <f>表紙!M40</f>
        <v>【要記入：電話】</v>
      </c>
      <c r="D24" s="368"/>
      <c r="E24" s="368"/>
    </row>
    <row r="25" spans="1:5" ht="18" customHeight="1">
      <c r="A25" s="616"/>
      <c r="B25" s="368" t="s">
        <v>494</v>
      </c>
      <c r="C25" s="368" t="str">
        <f>表紙!M41</f>
        <v>【要記入：メール】</v>
      </c>
      <c r="D25" s="368"/>
      <c r="E25" s="368"/>
    </row>
    <row r="26" spans="1:5" ht="18" customHeight="1">
      <c r="A26" s="616"/>
      <c r="B26" s="370" t="s">
        <v>44</v>
      </c>
      <c r="C26" s="368" t="str">
        <f>表紙!F43&amp;表紙!F44</f>
        <v>〒101-0062 東京都千代田区神田駿河台4-6 御茶ノ水ソラシティ アカデミア 4F</v>
      </c>
      <c r="D26" s="368"/>
      <c r="E26" s="368"/>
    </row>
    <row r="27" spans="1:5" ht="18" customHeight="1">
      <c r="A27" s="617" t="s">
        <v>495</v>
      </c>
      <c r="B27" s="368" t="s">
        <v>33</v>
      </c>
      <c r="C27" s="368" t="str">
        <f>'１．団体概要'!D3</f>
        <v>デジタルハリウッドカブシキガイシャ</v>
      </c>
      <c r="D27" s="368"/>
      <c r="E27" s="368"/>
    </row>
    <row r="28" spans="1:5" ht="18" customHeight="1">
      <c r="A28" s="617"/>
      <c r="B28" s="368" t="s">
        <v>50</v>
      </c>
      <c r="C28" s="368" t="str">
        <f>'１．団体概要'!D4</f>
        <v>デジタルハリウッド株式会社（事業主体：デジタルハリウッド大学・大学院）</v>
      </c>
      <c r="D28" s="368"/>
      <c r="E28" s="368"/>
    </row>
    <row r="29" spans="1:5" ht="18" customHeight="1">
      <c r="A29" s="617"/>
      <c r="B29" s="368" t="s">
        <v>52</v>
      </c>
      <c r="C29" s="368" t="str">
        <f>'１．団体概要'!D5</f>
        <v>代表取締役社長兼CEO</v>
      </c>
      <c r="D29" s="368"/>
      <c r="E29" s="368"/>
    </row>
    <row r="30" spans="1:5" ht="18" customHeight="1">
      <c r="A30" s="617"/>
      <c r="B30" s="368" t="s">
        <v>33</v>
      </c>
      <c r="C30" s="368" t="str">
        <f>'１．団体概要'!N5</f>
        <v>フジイ マサノリ</v>
      </c>
      <c r="D30" s="368"/>
      <c r="E30" s="368"/>
    </row>
    <row r="31" spans="1:5" ht="18" customHeight="1">
      <c r="A31" s="617"/>
      <c r="B31" s="368" t="s">
        <v>55</v>
      </c>
      <c r="C31" s="368" t="str">
        <f>'１．団体概要'!N6</f>
        <v>藤井 雅徳</v>
      </c>
      <c r="D31" s="368"/>
      <c r="E31" s="368"/>
    </row>
    <row r="32" spans="1:5" ht="18" customHeight="1">
      <c r="A32" s="617"/>
      <c r="B32" s="368" t="s">
        <v>57</v>
      </c>
      <c r="C32" s="369" t="str">
        <f>'１．団体概要'!D7&amp;" - "&amp;'１．団体概要'!F7</f>
        <v>101 - 0062</v>
      </c>
      <c r="D32" s="372"/>
      <c r="E32" s="372"/>
    </row>
    <row r="33" spans="1:6" ht="18" customHeight="1">
      <c r="A33" s="617"/>
      <c r="B33" s="368" t="s">
        <v>496</v>
      </c>
      <c r="C33" s="372" t="str">
        <f>'１．団体概要'!D8</f>
        <v>東京都千代田区神田駿河台4-6 御茶ノ水ソラシティ アカデミア 4F</v>
      </c>
      <c r="D33" s="372"/>
      <c r="E33" s="372"/>
      <c r="F33" s="372"/>
    </row>
    <row r="34" spans="1:6" ht="18" customHeight="1">
      <c r="A34" s="617"/>
      <c r="B34" s="368" t="s">
        <v>497</v>
      </c>
      <c r="C34" s="368" t="str">
        <f>'１．団体概要'!N7</f>
        <v>03-5289-9230</v>
      </c>
      <c r="D34" s="372"/>
      <c r="E34" s="372"/>
      <c r="F34" s="368"/>
    </row>
    <row r="35" spans="1:6" ht="18" customHeight="1">
      <c r="A35" s="617"/>
      <c r="B35" s="368" t="s">
        <v>35</v>
      </c>
      <c r="C35" s="368" t="str">
        <f>'１．団体概要'!N8</f>
        <v>fujiimasanori@dhw.co.jp</v>
      </c>
      <c r="D35" s="372"/>
      <c r="E35" s="372"/>
      <c r="F35" s="368"/>
    </row>
    <row r="36" spans="1:6" ht="18" customHeight="1">
      <c r="A36" s="617"/>
      <c r="B36" s="368" t="s">
        <v>498</v>
      </c>
      <c r="C36" s="368" t="str">
        <f>'１．団体概要'!N9</f>
        <v>https://www.dhw.ac.jp/</v>
      </c>
      <c r="D36" s="372"/>
      <c r="E36" s="372"/>
      <c r="F36" s="368"/>
    </row>
    <row r="37" spans="1:6" ht="18" customHeight="1">
      <c r="A37" s="617"/>
      <c r="B37" s="368" t="s">
        <v>499</v>
      </c>
      <c r="C37" s="368" t="str">
        <f>'１．団体概要'!D10</f>
        <v>その他法人</v>
      </c>
      <c r="D37" s="368"/>
      <c r="E37" s="368"/>
      <c r="F37" s="368"/>
    </row>
    <row r="38" spans="1:6" ht="18" customHeight="1">
      <c r="A38" s="617"/>
      <c r="B38" s="368" t="s">
        <v>500</v>
      </c>
      <c r="C38" s="368" t="str">
        <f>'１．団体概要'!G10</f>
        <v>株式会社</v>
      </c>
      <c r="D38" s="368"/>
      <c r="E38" s="372"/>
      <c r="F38" s="368"/>
    </row>
    <row r="39" spans="1:6" ht="18" customHeight="1">
      <c r="A39" s="617"/>
      <c r="B39" s="373" t="s">
        <v>501</v>
      </c>
      <c r="C39" s="374" t="str">
        <f>'１．団体概要'!D11</f>
        <v>2005年4月</v>
      </c>
      <c r="D39" s="368"/>
      <c r="E39" s="368"/>
      <c r="F39" s="368"/>
    </row>
    <row r="40" spans="1:6" ht="18" customHeight="1">
      <c r="A40" s="617"/>
      <c r="B40" s="373" t="s">
        <v>502</v>
      </c>
      <c r="C40" s="374" t="str">
        <f>'１．団体概要'!J11</f>
        <v>1994年10月3日</v>
      </c>
      <c r="D40" s="368"/>
      <c r="E40" s="368"/>
      <c r="F40" s="368"/>
    </row>
    <row r="41" spans="1:6" ht="18" customHeight="1">
      <c r="A41" s="617"/>
      <c r="B41" s="375" t="s">
        <v>503</v>
      </c>
      <c r="C41" s="372">
        <f>'１．団体概要'!R11</f>
        <v>0</v>
      </c>
      <c r="D41" s="368"/>
      <c r="E41" s="368"/>
      <c r="F41" s="368"/>
    </row>
    <row r="42" spans="1:6" ht="18" customHeight="1">
      <c r="A42" s="617"/>
      <c r="B42" s="368" t="s">
        <v>504</v>
      </c>
      <c r="C42" s="368" t="str">
        <f>'１．団体概要'!D13</f>
        <v>【要記入：教員数〇名、職員数〇名（大学の体制を記入）】</v>
      </c>
      <c r="D42" s="368"/>
      <c r="E42" s="368"/>
      <c r="F42" s="368"/>
    </row>
    <row r="43" spans="1:6" ht="18" customHeight="1">
      <c r="A43" s="617"/>
      <c r="B43" s="368" t="s">
        <v>505</v>
      </c>
      <c r="C43" s="368" t="str">
        <f>'１．団体概要'!F14</f>
        <v>経理担当者氏名</v>
      </c>
      <c r="D43" s="368"/>
      <c r="E43" s="368"/>
      <c r="F43" s="368"/>
    </row>
    <row r="44" spans="1:6" ht="18" customHeight="1">
      <c r="A44" s="617"/>
      <c r="B44" s="368" t="s">
        <v>506</v>
      </c>
      <c r="C44" s="368" t="str">
        <f>'１．団体概要'!F15</f>
        <v>監査担当者氏名</v>
      </c>
      <c r="D44" s="368"/>
      <c r="E44" s="368"/>
      <c r="F44" s="368"/>
    </row>
    <row r="45" spans="1:6" ht="18" customHeight="1">
      <c r="A45" s="617"/>
      <c r="B45" s="368" t="s">
        <v>507</v>
      </c>
      <c r="C45" s="368" t="str">
        <f>'１．団体概要'!I13</f>
        <v>【要記入：左記以外の構成員】</v>
      </c>
      <c r="D45" s="368"/>
      <c r="E45" s="368"/>
      <c r="F45" s="368"/>
    </row>
    <row r="46" spans="1:6" ht="92.25" customHeight="1">
      <c r="A46" s="617"/>
      <c r="B46" s="368" t="s">
        <v>92</v>
      </c>
      <c r="C46" s="370" t="str">
        <f>'１．団体概要'!D16</f>
        <v>1994年10月デジタルハリウッド株式会社設立、デジタルハリウッドTHE MULTIMEDIA SCHOOLを開校（東京都千代田区）。2004年デジタルハリウッド大学院大学を開学（日本初の株式会社立専門職大学院）。2005年デジタルハリウッド大学を開学（株式会社立大学）。2010年・2018年大学基準協会／日本高等教育評価機構による大学機関別認証評価（適合）。2013年東京本校およびデジタルハリウッド大学を御茶ノ水ソラシティ アカデミアへ移転。2025年　主要株主が株式会社ベネッセホールディングスに交代。2026年4月　第2代学長として藤井直敬が就任（初代：杉山知之／2005-2026）。創設以来30年、累計9万人以上の卒業生・受講生を輩出。</v>
      </c>
      <c r="D46" s="368"/>
      <c r="E46" s="368"/>
      <c r="F46" s="368"/>
    </row>
    <row r="47" spans="1:6" ht="77.25" customHeight="1">
      <c r="A47" s="617"/>
      <c r="B47" s="368" t="s">
        <v>94</v>
      </c>
      <c r="C47" s="370" t="str">
        <f>'１．団体概要'!D17</f>
        <v>建学の精神「Entertainment. It's Everything.（すべてをエンタテインメントにせよ。）」のもと、デジタルテクノロジーを駆使してエンタテインメントを創造する人材を育成する。産業界と直結した実践型カリキュラム、現役実務家教員による教育、企業連携型PBL、社会人向けリスキリング支援を通じて、即戦力となるクリエイター・プロデューサーを継続的に輩出し、日本のコンテンツ産業の競争力強化と文化の発信に寄与することを目的とする。2026年4月就任の第2代学長 藤井直敬は「世界を満たせ。Fill the world.」を新たな合言葉として掲げ、AI時代に「主体的に定義し、創造する」人材育成を強化している。</v>
      </c>
      <c r="D47" s="368"/>
      <c r="E47" s="368"/>
      <c r="F47" s="368"/>
    </row>
    <row r="48" spans="1:6" ht="84" customHeight="1">
      <c r="A48" s="617"/>
      <c r="B48" s="368" t="s">
        <v>96</v>
      </c>
      <c r="C48" s="370" t="str">
        <f>'１．団体概要'!D18</f>
        <v>運営法人デジタルハリウッド株式会社（1994年設立）は累計9万人以上の卒業生・受講生を輩出してきた基盤を有する。本学（大学院2004年・大学2005年開学）は、現役実務家教員による実践型教育、企業連携型PBL、社会人向けリスキリング支援を通じて即戦力人材を業界に送出し、修了生は映像・アニメ・ゲーム・VFX・CG等で活躍。2024年に本学修了生作品が学生アカデミー賞アニメーション部門銀賞（日本作品初）を受賞、2025年に文部科学省MDASH（リテラシーレベルプラス）認定および経済産業省調査による大学発ベンチャー創出実績で全国15位（私立6位）。</v>
      </c>
      <c r="D48" s="368"/>
      <c r="E48" s="368"/>
      <c r="F48" s="368"/>
    </row>
    <row r="49" spans="1:7" ht="18" customHeight="1">
      <c r="A49" s="617"/>
      <c r="B49" s="618" t="s">
        <v>508</v>
      </c>
      <c r="C49" s="368"/>
      <c r="D49" s="376" t="s">
        <v>99</v>
      </c>
      <c r="E49" s="376" t="s">
        <v>100</v>
      </c>
      <c r="F49" s="376"/>
      <c r="G49" s="376" t="s">
        <v>101</v>
      </c>
    </row>
    <row r="50" spans="1:7" ht="18" customHeight="1">
      <c r="A50" s="617"/>
      <c r="B50" s="617"/>
      <c r="C50" s="377" t="str">
        <f>1&amp;"_"&amp;D50&amp;"_"&amp;E50&amp;"千万_"&amp;G50</f>
        <v>1_0_0千万_0</v>
      </c>
      <c r="D50" s="378">
        <f>'１．団体概要'!E20</f>
        <v>0</v>
      </c>
      <c r="E50" s="378">
        <f>'１．団体概要'!I20</f>
        <v>0</v>
      </c>
      <c r="F50" s="376" t="str">
        <f>'１．団体概要'!M20</f>
        <v>千円</v>
      </c>
      <c r="G50" s="378">
        <f>'１．団体概要'!N20</f>
        <v>0</v>
      </c>
    </row>
    <row r="51" spans="1:7" ht="18" customHeight="1">
      <c r="A51" s="617"/>
      <c r="B51" s="617"/>
      <c r="C51" s="377" t="str">
        <f>2&amp;"_"&amp;D51&amp;"_"&amp;E51&amp;"千万_"&amp;G51</f>
        <v>2_0_0千万_0</v>
      </c>
      <c r="D51" s="378">
        <f>'１．団体概要'!E21</f>
        <v>0</v>
      </c>
      <c r="E51" s="378">
        <f>'１．団体概要'!I21</f>
        <v>0</v>
      </c>
      <c r="F51" s="376" t="str">
        <f>'１．団体概要'!M21</f>
        <v>千円</v>
      </c>
      <c r="G51" s="378">
        <f>'１．団体概要'!N21</f>
        <v>0</v>
      </c>
    </row>
    <row r="52" spans="1:7" ht="18" customHeight="1">
      <c r="A52" s="617"/>
      <c r="B52" s="617"/>
      <c r="C52" s="377" t="str">
        <f>3&amp;"_"&amp;D52&amp;"_"&amp;E52&amp;"千万_"&amp;G52</f>
        <v>3_0_0千万_0</v>
      </c>
      <c r="D52" s="378">
        <f>'１．団体概要'!E22</f>
        <v>0</v>
      </c>
      <c r="E52" s="376">
        <f>'１．団体概要'!I22</f>
        <v>0</v>
      </c>
      <c r="F52" s="376" t="str">
        <f>'１．団体概要'!M22</f>
        <v>千円</v>
      </c>
      <c r="G52" s="378">
        <f>'１．団体概要'!N22</f>
        <v>0</v>
      </c>
    </row>
    <row r="53" spans="1:7" ht="18" customHeight="1">
      <c r="A53" s="616" t="s">
        <v>509</v>
      </c>
      <c r="B53" s="368" t="s">
        <v>510</v>
      </c>
      <c r="C53" s="368" t="str">
        <f>'２．自己申告書'!K4</f>
        <v>はい</v>
      </c>
      <c r="D53" s="368"/>
      <c r="E53" s="368"/>
      <c r="F53" s="368"/>
      <c r="G53" s="368"/>
    </row>
    <row r="54" spans="1:7" ht="70.5" customHeight="1">
      <c r="A54" s="616"/>
      <c r="B54" s="370" t="s">
        <v>511</v>
      </c>
      <c r="C54" s="368" t="str">
        <f>'２．自己申告書'!K7</f>
        <v>はい</v>
      </c>
      <c r="D54" s="368"/>
      <c r="E54" s="368"/>
      <c r="F54" s="368"/>
      <c r="G54" s="368"/>
    </row>
    <row r="55" spans="1:7" ht="18" customHeight="1">
      <c r="A55" s="616"/>
      <c r="B55" s="368" t="s">
        <v>512</v>
      </c>
      <c r="C55" s="368" t="str">
        <f>'２．自己申告書'!K8</f>
        <v>はい</v>
      </c>
      <c r="D55" s="368"/>
      <c r="E55" s="368"/>
      <c r="F55" s="368"/>
      <c r="G55" s="368"/>
    </row>
    <row r="56" spans="1:7" ht="18" customHeight="1">
      <c r="A56" s="616"/>
      <c r="B56" s="368" t="s">
        <v>513</v>
      </c>
      <c r="C56" s="368" t="str">
        <f>'２．自己申告書'!K9</f>
        <v>はい</v>
      </c>
      <c r="D56" s="368"/>
      <c r="E56" s="368"/>
      <c r="F56" s="368"/>
      <c r="G56" s="368"/>
    </row>
    <row r="57" spans="1:7" ht="54" customHeight="1">
      <c r="A57" s="616"/>
      <c r="B57" s="370" t="s">
        <v>514</v>
      </c>
      <c r="C57" s="368" t="str">
        <f>'２．自己申告書'!K10</f>
        <v>はい</v>
      </c>
      <c r="D57" s="368"/>
      <c r="E57" s="368"/>
      <c r="F57" s="368"/>
      <c r="G57" s="368"/>
    </row>
    <row r="58" spans="1:7" ht="36" customHeight="1">
      <c r="A58" s="616"/>
      <c r="B58" s="370" t="s">
        <v>515</v>
      </c>
      <c r="C58" s="368" t="str">
        <f>'２．自己申告書'!K13</f>
        <v>はい</v>
      </c>
      <c r="D58" s="368"/>
      <c r="E58" s="368"/>
      <c r="F58" s="368"/>
      <c r="G58" s="368"/>
    </row>
    <row r="59" spans="1:7" ht="18" customHeight="1">
      <c r="A59" s="616"/>
      <c r="B59" s="368" t="s">
        <v>516</v>
      </c>
      <c r="C59" s="368" t="str">
        <f>'２．自己申告書'!K16</f>
        <v>はい</v>
      </c>
      <c r="D59" s="368"/>
      <c r="E59" s="368"/>
      <c r="F59" s="368"/>
      <c r="G59" s="368"/>
    </row>
    <row r="60" spans="1:7" ht="18" customHeight="1">
      <c r="A60" s="616"/>
      <c r="B60" s="368" t="s">
        <v>517</v>
      </c>
      <c r="C60" s="368" t="str">
        <f>'２．自己申告書'!K17</f>
        <v>はい</v>
      </c>
      <c r="D60" s="368"/>
      <c r="E60" s="368"/>
      <c r="F60" s="368"/>
      <c r="G60" s="368"/>
    </row>
    <row r="61" spans="1:7" ht="18" customHeight="1">
      <c r="A61" s="616"/>
      <c r="B61" s="368" t="s">
        <v>518</v>
      </c>
      <c r="C61" s="368" t="str">
        <f>'２．自己申告書'!K18</f>
        <v>はい</v>
      </c>
      <c r="D61" s="368"/>
      <c r="E61" s="368"/>
      <c r="F61" s="368"/>
      <c r="G61" s="368"/>
    </row>
    <row r="62" spans="1:7" ht="54" customHeight="1">
      <c r="A62" s="616"/>
      <c r="B62" s="370" t="s">
        <v>519</v>
      </c>
      <c r="C62" s="368" t="str">
        <f>'２．自己申告書'!K19</f>
        <v>はい</v>
      </c>
      <c r="D62" s="368"/>
      <c r="E62" s="368"/>
      <c r="F62" s="368"/>
      <c r="G62" s="368"/>
    </row>
    <row r="63" spans="1:7" ht="18" customHeight="1">
      <c r="A63" s="616"/>
      <c r="B63" s="368" t="s">
        <v>520</v>
      </c>
      <c r="C63" s="368" t="str">
        <f>'２．自己申告書'!K20</f>
        <v>はい</v>
      </c>
      <c r="D63" s="368"/>
      <c r="E63" s="368"/>
      <c r="F63" s="368"/>
      <c r="G63" s="368"/>
    </row>
    <row r="64" spans="1:7" ht="57" customHeight="1">
      <c r="A64" s="616"/>
      <c r="B64" s="370" t="s">
        <v>521</v>
      </c>
      <c r="C64" s="368" t="str">
        <f>'２．自己申告書'!K21</f>
        <v>はい</v>
      </c>
      <c r="D64" s="368"/>
      <c r="E64" s="368"/>
      <c r="F64" s="368"/>
      <c r="G64" s="368"/>
    </row>
    <row r="65" spans="1:11" ht="53.25" customHeight="1">
      <c r="A65" s="616"/>
      <c r="B65" s="370" t="s">
        <v>522</v>
      </c>
      <c r="C65" s="368" t="str">
        <f>'２．自己申告書'!K22</f>
        <v>はい</v>
      </c>
      <c r="D65" s="368"/>
      <c r="E65" s="368"/>
      <c r="F65" s="368"/>
      <c r="G65" s="368"/>
      <c r="H65" s="368"/>
      <c r="I65" s="368"/>
      <c r="J65" s="368"/>
      <c r="K65" s="368"/>
    </row>
    <row r="66" spans="1:11" ht="54" customHeight="1">
      <c r="A66" s="616"/>
      <c r="B66" s="370" t="s">
        <v>523</v>
      </c>
      <c r="C66" s="368" t="str">
        <f>'２．自己申告書'!K24</f>
        <v>はい</v>
      </c>
      <c r="D66" s="368"/>
      <c r="E66" s="368"/>
      <c r="F66" s="368"/>
      <c r="G66" s="368"/>
      <c r="H66" s="368"/>
      <c r="I66" s="368"/>
      <c r="J66" s="368"/>
      <c r="K66" s="368"/>
    </row>
    <row r="67" spans="1:11" ht="49.5" customHeight="1">
      <c r="A67" s="616"/>
      <c r="B67" s="370" t="s">
        <v>524</v>
      </c>
      <c r="C67" s="368" t="str">
        <f>'２．自己申告書'!K25</f>
        <v>はい</v>
      </c>
      <c r="D67" s="368"/>
      <c r="E67" s="368"/>
      <c r="F67" s="368"/>
      <c r="G67" s="368"/>
      <c r="H67" s="368"/>
      <c r="I67" s="368"/>
      <c r="J67" s="368"/>
      <c r="K67" s="368"/>
    </row>
    <row r="68" spans="1:11" ht="36" customHeight="1">
      <c r="A68" s="616"/>
      <c r="B68" s="370" t="s">
        <v>525</v>
      </c>
      <c r="C68" s="368" t="str">
        <f>'２．自己申告書'!K29</f>
        <v>はい</v>
      </c>
      <c r="D68" s="368"/>
      <c r="E68" s="368"/>
      <c r="F68" s="368"/>
      <c r="G68" s="368"/>
      <c r="H68" s="368"/>
      <c r="I68" s="368"/>
      <c r="J68" s="368"/>
      <c r="K68" s="368"/>
    </row>
    <row r="69" spans="1:11" ht="36" customHeight="1">
      <c r="A69" s="616"/>
      <c r="B69" s="370" t="s">
        <v>526</v>
      </c>
      <c r="C69" s="368" t="str">
        <f>'２．自己申告書'!K30</f>
        <v>はい</v>
      </c>
      <c r="D69" s="368"/>
      <c r="E69" s="368"/>
      <c r="F69" s="368"/>
      <c r="G69" s="368"/>
      <c r="H69" s="368"/>
      <c r="I69" s="368"/>
      <c r="J69" s="368"/>
      <c r="K69" s="368"/>
    </row>
    <row r="70" spans="1:11" ht="36" customHeight="1">
      <c r="A70" s="616"/>
      <c r="B70" s="370" t="s">
        <v>527</v>
      </c>
      <c r="C70" s="368" t="str">
        <f>'２．自己申告書'!K31</f>
        <v>はい</v>
      </c>
      <c r="D70" s="368"/>
      <c r="E70" s="368"/>
      <c r="F70" s="368"/>
      <c r="G70" s="368"/>
      <c r="H70" s="368"/>
      <c r="I70" s="368"/>
      <c r="J70" s="368"/>
      <c r="K70" s="368"/>
    </row>
    <row r="71" spans="1:11" ht="45" customHeight="1">
      <c r="A71" s="616"/>
      <c r="B71" s="379" t="s">
        <v>528</v>
      </c>
      <c r="C71" s="368" t="str">
        <f>'２．自己申告書'!K35</f>
        <v>はい</v>
      </c>
      <c r="D71" s="368"/>
      <c r="E71" s="368"/>
      <c r="F71" s="368"/>
      <c r="G71" s="368"/>
      <c r="H71" s="368"/>
      <c r="I71" s="368"/>
      <c r="J71" s="368"/>
      <c r="K71" s="368"/>
    </row>
    <row r="72" spans="1:11" ht="38.25" customHeight="1">
      <c r="A72" s="616"/>
      <c r="B72" s="370" t="s">
        <v>529</v>
      </c>
      <c r="C72" s="368" t="str">
        <f>'２．自己申告書'!K42</f>
        <v>はい</v>
      </c>
      <c r="D72" s="368"/>
      <c r="E72" s="368"/>
      <c r="F72" s="368"/>
      <c r="G72" s="368"/>
      <c r="H72" s="368"/>
      <c r="I72" s="368"/>
      <c r="J72" s="368"/>
      <c r="K72" s="368"/>
    </row>
    <row r="73" spans="1:11" ht="18" customHeight="1">
      <c r="A73" s="616"/>
      <c r="B73" s="368" t="s">
        <v>530</v>
      </c>
      <c r="C73" s="368" t="str">
        <f>'２．自己申告書'!K46</f>
        <v>はい</v>
      </c>
      <c r="D73" s="368"/>
      <c r="E73" s="368"/>
      <c r="F73" s="368"/>
      <c r="G73" s="368"/>
      <c r="H73" s="368"/>
      <c r="I73" s="368"/>
      <c r="J73" s="368"/>
      <c r="K73" s="368"/>
    </row>
    <row r="74" spans="1:11" ht="54" customHeight="1">
      <c r="A74" s="616"/>
      <c r="B74" s="370" t="s">
        <v>531</v>
      </c>
      <c r="C74" s="368" t="str">
        <f>'２．自己申告書'!K47</f>
        <v>はい</v>
      </c>
      <c r="D74" s="368"/>
      <c r="E74" s="368"/>
      <c r="F74" s="368"/>
      <c r="G74" s="368"/>
      <c r="H74" s="368"/>
      <c r="I74" s="368"/>
      <c r="J74" s="368"/>
      <c r="K74" s="368"/>
    </row>
    <row r="75" spans="1:11" ht="54" customHeight="1">
      <c r="A75" s="616"/>
      <c r="B75" s="370" t="s">
        <v>532</v>
      </c>
      <c r="C75" s="368" t="str">
        <f>'２．自己申告書'!K48</f>
        <v>はい</v>
      </c>
      <c r="D75" s="368"/>
      <c r="E75" s="368"/>
      <c r="F75" s="368"/>
      <c r="G75" s="368"/>
      <c r="H75" s="368"/>
      <c r="I75" s="368"/>
      <c r="J75" s="368"/>
      <c r="K75" s="368"/>
    </row>
    <row r="76" spans="1:11" ht="54" customHeight="1">
      <c r="A76" s="616"/>
      <c r="B76" s="370" t="s">
        <v>533</v>
      </c>
      <c r="C76" s="368" t="str">
        <f>'２．自己申告書'!K49</f>
        <v>はい</v>
      </c>
      <c r="D76" s="368"/>
      <c r="E76" s="368"/>
      <c r="F76" s="368"/>
      <c r="G76" s="368"/>
      <c r="H76" s="368"/>
      <c r="I76" s="368"/>
      <c r="J76" s="368"/>
      <c r="K76" s="368"/>
    </row>
    <row r="77" spans="1:11" ht="90" customHeight="1">
      <c r="A77" s="616"/>
      <c r="B77" s="370" t="s">
        <v>534</v>
      </c>
      <c r="C77" s="368" t="str">
        <f>'２．自己申告書'!K50</f>
        <v>はい</v>
      </c>
      <c r="D77" s="368"/>
      <c r="E77" s="368"/>
      <c r="F77" s="368"/>
      <c r="G77" s="368"/>
      <c r="H77" s="368"/>
      <c r="I77" s="368"/>
      <c r="J77" s="368"/>
      <c r="K77" s="368"/>
    </row>
    <row r="78" spans="1:11" ht="90" customHeight="1">
      <c r="A78" s="616"/>
      <c r="B78" s="370" t="s">
        <v>535</v>
      </c>
      <c r="C78" s="368" t="str">
        <f>'２．自己申告書'!K52</f>
        <v>はい</v>
      </c>
      <c r="D78" s="368"/>
      <c r="E78" s="368"/>
      <c r="F78" s="368"/>
      <c r="G78" s="368"/>
      <c r="H78" s="368"/>
      <c r="I78" s="368"/>
      <c r="J78" s="368"/>
      <c r="K78" s="368"/>
    </row>
    <row r="79" spans="1:11" ht="79.5" customHeight="1">
      <c r="A79" s="616"/>
      <c r="B79" s="370" t="s">
        <v>536</v>
      </c>
      <c r="C79" s="370" t="str">
        <f>'２．自己申告書'!K57</f>
        <v>はい</v>
      </c>
      <c r="D79" s="370"/>
      <c r="E79" s="370"/>
      <c r="F79" s="370"/>
      <c r="G79" s="370"/>
      <c r="H79" s="370"/>
      <c r="I79" s="370"/>
      <c r="J79" s="370"/>
      <c r="K79" s="370"/>
    </row>
    <row r="80" spans="1:11" ht="18" customHeight="1">
      <c r="A80" s="616"/>
      <c r="B80" s="369" t="s">
        <v>537</v>
      </c>
      <c r="C80" s="369">
        <f>'２．自己申告書'!F58</f>
        <v>0</v>
      </c>
      <c r="D80" s="369"/>
      <c r="E80" s="369"/>
      <c r="F80" s="369"/>
      <c r="G80" s="369"/>
      <c r="H80" s="369"/>
      <c r="I80" s="369"/>
      <c r="J80" s="369"/>
      <c r="K80" s="368"/>
    </row>
    <row r="81" spans="1:10" ht="83.25" customHeight="1">
      <c r="A81" s="616"/>
      <c r="B81" s="370" t="s">
        <v>538</v>
      </c>
      <c r="C81" s="368" t="str">
        <f>'２．自己申告書'!K60</f>
        <v>はい</v>
      </c>
      <c r="D81" s="368"/>
      <c r="E81" s="368"/>
      <c r="F81" s="368"/>
      <c r="G81" s="368"/>
      <c r="H81" s="368"/>
      <c r="I81" s="368"/>
      <c r="J81" s="368"/>
    </row>
    <row r="82" spans="1:10" ht="21" customHeight="1">
      <c r="A82" s="616"/>
      <c r="B82" s="369" t="s">
        <v>539</v>
      </c>
      <c r="C82" s="369">
        <f>'２．自己申告書'!F61</f>
        <v>0</v>
      </c>
      <c r="D82" s="369"/>
      <c r="E82" s="369"/>
      <c r="F82" s="369"/>
      <c r="G82" s="369"/>
      <c r="H82" s="369"/>
      <c r="I82" s="369"/>
      <c r="J82" s="369"/>
    </row>
    <row r="83" spans="1:10" ht="72" customHeight="1">
      <c r="A83" s="616"/>
      <c r="B83" s="370" t="s">
        <v>540</v>
      </c>
      <c r="C83" s="368" t="str">
        <f>'２．自己申告書'!K63</f>
        <v>はい</v>
      </c>
      <c r="D83" s="368"/>
      <c r="E83" s="368"/>
      <c r="F83" s="368"/>
      <c r="G83" s="368"/>
      <c r="H83" s="368"/>
      <c r="I83" s="368"/>
      <c r="J83" s="368"/>
    </row>
    <row r="84" spans="1:10" ht="34.5" customHeight="1">
      <c r="A84" s="616"/>
      <c r="B84" s="370" t="s">
        <v>541</v>
      </c>
      <c r="C84" s="368" t="str">
        <f>'２．自己申告書'!K64</f>
        <v>はい</v>
      </c>
      <c r="D84" s="368"/>
      <c r="E84" s="368"/>
      <c r="F84" s="368"/>
      <c r="G84" s="368"/>
      <c r="H84" s="368"/>
      <c r="I84" s="368"/>
      <c r="J84" s="368"/>
    </row>
    <row r="85" spans="1:10" ht="18" customHeight="1">
      <c r="A85" s="616"/>
      <c r="B85" s="369" t="s">
        <v>542</v>
      </c>
      <c r="C85" s="369">
        <f>'２．自己申告書'!F65</f>
        <v>0</v>
      </c>
      <c r="D85" s="369"/>
      <c r="E85" s="369"/>
      <c r="F85" s="369"/>
      <c r="G85" s="369"/>
      <c r="H85" s="369"/>
      <c r="I85" s="369"/>
      <c r="J85" s="369"/>
    </row>
    <row r="86" spans="1:10" ht="36" customHeight="1">
      <c r="A86" s="616"/>
      <c r="B86" s="370" t="s">
        <v>543</v>
      </c>
      <c r="C86" s="368" t="str">
        <f>'２．自己申告書'!K67</f>
        <v>はい</v>
      </c>
      <c r="D86" s="368"/>
      <c r="E86" s="368"/>
      <c r="F86" s="368"/>
      <c r="G86" s="368"/>
      <c r="H86" s="368"/>
      <c r="I86" s="368"/>
      <c r="J86" s="368"/>
    </row>
    <row r="87" spans="1:10" ht="36" customHeight="1">
      <c r="A87" s="616"/>
      <c r="B87" s="370" t="s">
        <v>544</v>
      </c>
      <c r="C87" s="368" t="str">
        <f>'２．自己申告書'!K68</f>
        <v>はい</v>
      </c>
      <c r="D87" s="368"/>
      <c r="E87" s="368"/>
      <c r="F87" s="368"/>
      <c r="G87" s="368"/>
      <c r="H87" s="368"/>
      <c r="I87" s="368"/>
      <c r="J87" s="368"/>
    </row>
    <row r="88" spans="1:10" ht="36" customHeight="1">
      <c r="A88" s="616"/>
      <c r="B88" s="370" t="s">
        <v>545</v>
      </c>
      <c r="C88" s="368" t="str">
        <f>'２．自己申告書'!K69</f>
        <v>はい</v>
      </c>
      <c r="D88" s="368"/>
      <c r="E88" s="368"/>
      <c r="F88" s="368"/>
      <c r="G88" s="368"/>
      <c r="H88" s="368"/>
      <c r="I88" s="368"/>
      <c r="J88" s="368"/>
    </row>
    <row r="89" spans="1:10" ht="36" customHeight="1">
      <c r="A89" s="616"/>
      <c r="B89" s="370" t="s">
        <v>546</v>
      </c>
      <c r="C89" s="368" t="str">
        <f>'２．自己申告書'!K70</f>
        <v>はい</v>
      </c>
      <c r="D89" s="368"/>
      <c r="E89" s="368"/>
      <c r="F89" s="368"/>
      <c r="G89" s="368"/>
      <c r="H89" s="368"/>
      <c r="I89" s="368"/>
      <c r="J89" s="368"/>
    </row>
    <row r="90" spans="1:10" ht="27.75" customHeight="1">
      <c r="A90" s="616"/>
      <c r="B90" s="369" t="s">
        <v>547</v>
      </c>
      <c r="C90" s="369">
        <f>'２．自己申告書'!F71</f>
        <v>0</v>
      </c>
      <c r="D90" s="369"/>
      <c r="E90" s="369"/>
      <c r="F90" s="369"/>
      <c r="G90" s="369"/>
      <c r="H90" s="369"/>
      <c r="I90" s="369"/>
      <c r="J90" s="369"/>
    </row>
    <row r="91" spans="1:10" ht="27.75" customHeight="1">
      <c r="A91" s="616"/>
      <c r="B91" s="368" t="s">
        <v>548</v>
      </c>
      <c r="C91" s="368" t="str">
        <f>'２．自己申告書'!K75</f>
        <v>該当しない</v>
      </c>
      <c r="D91" s="368"/>
      <c r="E91" s="368"/>
      <c r="F91" s="368"/>
      <c r="G91" s="368"/>
      <c r="H91" s="368"/>
      <c r="I91" s="368"/>
      <c r="J91" s="368"/>
    </row>
    <row r="92" spans="1:10" ht="84" customHeight="1">
      <c r="A92" s="616"/>
      <c r="B92" s="370" t="s">
        <v>549</v>
      </c>
      <c r="C92" s="368" t="str">
        <f>'２．自己申告書'!K76</f>
        <v>該当しない</v>
      </c>
      <c r="D92" s="368"/>
      <c r="E92" s="368"/>
      <c r="F92" s="368"/>
      <c r="G92" s="368"/>
      <c r="H92" s="368"/>
      <c r="I92" s="368"/>
      <c r="J92" s="368"/>
    </row>
    <row r="93" spans="1:10" ht="87" customHeight="1">
      <c r="A93" s="616"/>
      <c r="B93" s="370" t="s">
        <v>550</v>
      </c>
      <c r="C93" s="368" t="str">
        <f>'２．自己申告書'!K77</f>
        <v>該当しない</v>
      </c>
      <c r="D93" s="368"/>
      <c r="E93" s="368"/>
      <c r="F93" s="368"/>
      <c r="G93" s="368"/>
      <c r="H93" s="368"/>
      <c r="I93" s="368"/>
      <c r="J93" s="368"/>
    </row>
    <row r="94" spans="1:10" ht="54" customHeight="1">
      <c r="A94" s="616"/>
      <c r="B94" s="370" t="s">
        <v>551</v>
      </c>
      <c r="C94" s="368" t="str">
        <f>'２．自己申告書'!K78</f>
        <v>該当しない</v>
      </c>
      <c r="D94" s="368"/>
      <c r="E94" s="368"/>
      <c r="F94" s="368"/>
      <c r="G94" s="368"/>
      <c r="H94" s="368"/>
      <c r="I94" s="368"/>
      <c r="J94" s="368"/>
    </row>
    <row r="95" spans="1:10" ht="87" customHeight="1">
      <c r="A95" s="616"/>
      <c r="B95" s="370" t="s">
        <v>552</v>
      </c>
      <c r="C95" s="368" t="str">
        <f>'２．自己申告書'!K79</f>
        <v>該当しない</v>
      </c>
      <c r="D95" s="368"/>
      <c r="E95" s="368"/>
      <c r="F95" s="368"/>
      <c r="G95" s="368"/>
      <c r="H95" s="368"/>
      <c r="I95" s="368"/>
      <c r="J95" s="368"/>
    </row>
    <row r="96" spans="1:10" ht="60.75" customHeight="1">
      <c r="A96" s="619" t="s">
        <v>553</v>
      </c>
      <c r="B96" s="370" t="s">
        <v>554</v>
      </c>
      <c r="C96" s="368" t="str">
        <f>'３．全体計画、４．観点対応'!B4</f>
        <v>生成AIとリアルタイム制作技術の急速な普及により、映像・VFX・3DCG・アニメ・ゲームの各分野で3DCG制作フローが共通基盤化しつつあり、従来の業界別人材育成ではAI時代の制作フローに対応しきれない。本事業は、産業を横断して活躍できる「3DCG制作中核人材」を3年間で累計1,080名（リテラシー600名・実践360名・高度120名）育成するものである。具体的には、2026年2月に稼働開始した本学のLEDウォールVP環境および国際的VFX教授陣を活用し、生成AI×バーチャルプロダクション×3DCGを統合した「AI Nativeワークフロー」を中核とする実践型プログラムを展開する。さらにベネッセAI教育研究所と共催で企業ゼミ（リテラシー〜実践）を運営し、修了生3年継続追跡によるEBPM評価および全国教育機関への成果展開を一体的に推進する。</v>
      </c>
      <c r="D96" s="368"/>
      <c r="E96" s="368"/>
      <c r="F96" s="368"/>
      <c r="G96" s="368"/>
      <c r="H96" s="368"/>
      <c r="I96" s="368"/>
      <c r="J96" s="368"/>
    </row>
    <row r="97" spans="1:3" ht="95.25" customHeight="1">
      <c r="A97" s="619"/>
      <c r="B97" s="370" t="s">
        <v>555</v>
      </c>
      <c r="C97" s="368" t="str">
        <f>'３．全体計画、４．観点対応'!B7</f>
        <v>直接成果として、3年間で1,080名の3DCG制作中核人材を育成し、中級・上級修了生（実践・高度の480名）について業界就業率70%以上、修了後3年継続従事率70%以上を実現する。加えて、教材公開・FD研修・出前授業・サマースクール等を通じて累計177団体（自治体15／中高75／高等教育機関45／各種学校42）へ育成モデルを展開し、全国的な人材育成基盤の拡充に寄与する。さらに業界標準コンピテンシーモデルおよび国産デジタルデザインプラットフォーム要件定義書を策定・公開し、業界団体（CESA・VFX-JAPAN等）・関係省庁（経産省・文化庁・内閣府）と共有し、政策・産業界が参照できる公共財として提供する。本事業は単一大学の取組を超え、AI時代の産業横断型3DCG制作人材育成モデルを日本で初めて構築するものであり、コンテンツ産業の国際競争力強化と文化芸術の国際的プレゼンス向上に資する。</v>
      </c>
    </row>
    <row r="98" spans="1:3" ht="118.5" customHeight="1">
      <c r="A98" s="619" t="s">
        <v>185</v>
      </c>
      <c r="B98" s="370" t="s">
        <v>186</v>
      </c>
      <c r="C98" s="368" t="str">
        <f>'３．全体計画、４．観点対応'!B14</f>
        <v>本事業は、募集要領で例示された中核的専門人材（3DCGクリエイター・VFXクリエイター等）を、AI時代の産業横断型制作フローに対応する形へ発展させ、映像・VFX・3DCG・アニメ・ゲームの5分野にわたる制作中核人材を育成する。育成はリテラシー・実践・高度の3階層で構成し、生成AI（ChatGPT／Gemini／Claude等）と業界標準ツール群（Adobe／Figma／Canva／Blender／Unreal Engine）の体系学習で基本技術の習得を図るとともに、国際的VFX教授（エカート教授）によるFramestore流ワークフロー継承で卓越技術を継承する。さらにAI×LEDウォール統合ワークフロー設計能力の育成により新技術活用能力を高め、ベネッセAI教育研究所による業界マッチング・3年継続追跡でキャリア選択を支援する。これらを統合的に展開し、4観点すべてを充足する設計とする。</v>
      </c>
    </row>
    <row r="99" spans="1:3" ht="61.5" customHeight="1">
      <c r="A99" s="619"/>
      <c r="B99" s="370" t="s">
        <v>189</v>
      </c>
      <c r="C99" s="368" t="str">
        <f>'３．全体計画、４．観点対応'!D12</f>
        <v>〇</v>
      </c>
    </row>
    <row r="100" spans="1:3" ht="61.5" customHeight="1">
      <c r="A100" s="619"/>
      <c r="B100" s="370" t="s">
        <v>191</v>
      </c>
      <c r="C100" s="368" t="str">
        <f>'３．全体計画、４．観点対応'!D13</f>
        <v>〇</v>
      </c>
    </row>
    <row r="101" spans="1:3" ht="61.5" customHeight="1">
      <c r="A101" s="619"/>
      <c r="B101" s="370" t="s">
        <v>190</v>
      </c>
      <c r="C101" s="368" t="str">
        <f>'３．全体計画、４．観点対応'!G12</f>
        <v>〇</v>
      </c>
    </row>
    <row r="102" spans="1:3" ht="61.5" customHeight="1">
      <c r="A102" s="619"/>
      <c r="B102" s="370" t="s">
        <v>192</v>
      </c>
      <c r="C102" s="368" t="str">
        <f>'３．全体計画、４．観点対応'!G13</f>
        <v>〇</v>
      </c>
    </row>
    <row r="103" spans="1:3" ht="84.75" customHeight="1">
      <c r="A103" s="619"/>
      <c r="B103" s="370" t="s">
        <v>194</v>
      </c>
      <c r="C103" s="368" t="str">
        <f>'３．全体計画、４．観点対応'!B17</f>
        <v>本学（大学院2004年・大学2005年開学）は、運営法人デジタルハリウッド株式会社（1994年設立）を中核とするグループ累計9万人以上の輩出基盤を有し、修了生は各産業で活躍している。本事業ではこの基盤上に5分野（映像・VFX・3DCG・アニメ・ゲーム）の企業群（累計100社以上）とOJT・インターンシップ・実制作指導で連携し、修了生が特定業界に閉じない選択肢を持てる構造を実現する。定着検証はベネッセAI教育研究所による修了生3年継続追跡で行い、業界就業率（中級・上級修了生＝実践・高度の480名対象）70%以上、修了後3年継続従事率70%以上を目標とする。事業終了後は本事業で開発したカリキュラムを本学（大学・大学院）の正課授業として恒常的に組み込み、学費収入を財源として運営することで、継続的な育成基盤を確立する。</v>
      </c>
    </row>
    <row r="104" spans="1:3" ht="84" customHeight="1">
      <c r="A104" s="619"/>
      <c r="B104" s="370" t="s">
        <v>195</v>
      </c>
      <c r="C104" s="368" t="str">
        <f>'３．全体計画、４．観点対応'!B20</f>
        <v>人材ニーズは公的資料および業界データの双方から裏付けられている。経産省「エンタメ・クリエイティブ産業戦略」（2025年6月）は海外売上2033年20兆円を掲げる一方「クリエイター・ビジネス人材の不足」を明示し、同省「第8回エンタメ・クリエイティブ産業政策研究会」資料（2025年10月）でも、世界需要が拡大する中、アニメ・実写分野で「制作スタジオや人材の供給不足」が改めて指摘されている。業界データでも帝国データバンク「アニメ制作市場動向調査2025」で市場3,621億円と過去最高更新ながら元請60%が業績悪化し「利益なき繁忙」と分析される。国内VFX市場はIMARC Group調査で年平均成長率6.5%（2025-2033年）と継続成長が見込まれ、3DCG・VFXクリエイターは慢性的な人材不足にある。本事業はこれらに応え、1,080名を直接輩出し、177団体への波及により人材供給基盤の拡大に寄与する。</v>
      </c>
    </row>
    <row r="105" spans="1:3" ht="84" customHeight="1">
      <c r="A105" s="619"/>
      <c r="B105" s="370" t="s">
        <v>196</v>
      </c>
      <c r="C105" s="368" t="str">
        <f>'３．全体計画、４．観点対応'!B23</f>
        <v>本事業は連携先ベネッセAI教育研究所との2者連携により補助型応募要件を満たす。同研究所は教育効果のEBPM評価機関であると同時に、教育モデルを全国の教育機関へ展開する社会実装プレイヤーでもあり、本事業の中核連携先として最適である。事前協議は既に実施済みであり、令和8年度第1四半期に正式協定を締結する。同研究所が担う役割は、①本学との共催による企業ゼミ（リテラシー〜実践）の設計・運営と受講生事前事後アセスメント、②修了生3年継続追跡、③EBPM評価・要因分析、④研究レポート共同編集、⑤全国教育機関への教育モデル展開支援、⑥高大接続設計、⑦オンラインプラットフォームによる普及、の7点である。加えて事業実施を通じて、業界横断連携（5分野の企業群・累計100社以上）、教育波及連携（累計177団体）、行政・産業共有（経産省・文化庁・CESA・VFX-JAPAN等）へ段階的に連携を拡大する。</v>
      </c>
    </row>
    <row r="106" spans="1:3" ht="58.5" customHeight="1">
      <c r="A106" s="619" t="s">
        <v>198</v>
      </c>
      <c r="B106" s="370" t="s">
        <v>556</v>
      </c>
      <c r="C106" s="370" t="str">
        <f>'５．プロジェクト詳細'!B5</f>
        <v>【実施方針】
産業横断型3DCG制作中核人材の育成を、リテラシー・実践・高度の3階層で実施する。リテラシーコース（年200名）では3DCG・AI・VPの基礎を共通基盤として全員が習得し、実践コース（年120名）では本人の希望と適性に応じて映像・VFX・3DCG・アニメ・ゲームの5分野いずれかの専門領域に分化する。さらに高度コース（年40名）は実践修了者から選抜のうえ、VP・リアルタイムCGの高度専門能力を養成する。
【決定プロセス】
令和8年度第1〜第2四半期にエカート教授との統合設計によるカリキュラム共同開発、AI・VPスキル標準の策定、各コース第1期向け教材開発を実施する。第3四半期からは3階層の同時開講に移行し、LEDウォール環境を活用した産業横断型実制作演習を本格稼働させるとともに、エカート教授による上級指導を開始する。
【AI Nativeワークフロー】
3DCG制作工程を「①企画・開発、②プリプロダクション、③バーチャルプロダクション、④ポストプロダクション、⑤検証・アーカイブ」の5段階に再設計し、各段階でAI・リアルタイム制作・VPを統合的に活用する。</v>
      </c>
    </row>
    <row r="107" spans="1:3" ht="54.75" customHeight="1">
      <c r="A107" s="619"/>
      <c r="B107" s="370" t="s">
        <v>557</v>
      </c>
      <c r="C107" s="370" t="str">
        <f>'５．プロジェクト詳細'!B13</f>
        <v>【事務局】
専従事務局をデジタルハリウッド大学内に設置し、専従スタッフ（プログラム・ディレクター、教務担当、広報担当、経理担当）を配置のうえ、年度ごとの執行計画と実績管理を行う。実施期間中は、振興会および文化庁と定期的に協議の場を設け、必要な連絡・事務を執り行う。
【実施体制】
事業責任者は学長・藤井直敬が務め、本学が中核実施機関として、教育設計・運営・成果評価・修了生支援を一貫して実施する。中核指導者には、クリストファー・ハンス・エカート教授を招聘済。育成対象者については、修了後もベネッセAI教育研究所との連携により3年継続追跡を行い、振興会・文化庁からの求めに応じて速やかに活動状況を報告できる体制を整える。
【連携先】
ベネッセAI教育研究所が本学との共催による企業ゼミ（リテラシー〜実践）の設計・運営を担うとともに、教育効果測定・修了生追跡・EBPM評価・全国教育機関展開支援・高大接続設計・オンライン普及までを一体的に担当する。</v>
      </c>
    </row>
    <row r="108" spans="1:3" ht="48" customHeight="1">
      <c r="A108" s="619"/>
      <c r="B108" s="370" t="s">
        <v>558</v>
      </c>
      <c r="C108" s="370" t="str">
        <f>'５．プロジェクト詳細'!B21</f>
        <v>【広報】
特設Webサイト・SNS・大学広報を通じて受講生募集と事業情報を発信するとともに、業界専門メディア（CGWORLDほか）への寄稿・掲載を行う。あわせて年次研究会を開催する（年4回×3年、延べ参加者1,500名以上）。
【成果発表】
中間研究レポート（令和8年度末・令和9年度末）および最終研究レポート（令和10年度末）を公開し、実制作作品（3年累計24作品以上）の発表会を開催する。令和10年度第3四半期にプロジェクト成果をネットやSNSで発信するとともに、国際カンファレンスを通して海外に広く周知する。
【モデル展開】
教材公開ライセンス（累計50本以上）、FD研修（年2回・累計150名以上）、出前授業、サマースクール（累計修了者120名以上＝年40名×3年）等の取組を通じて、累計177団体（自治体15／中高75／高等教育機関45／各種学校42）へモデルを展開する。
【業界・行政共有】
業界標準コンピテンシーモデルおよび国産デジタルデザインプラットフォーム要件定義書を策定・公開し、経済産業省・文化庁・内閣府への報告および業界団体（CESA・VFX-JAPAN等）への共有を実施するとともに、関連研究会を累計3回以上開催する。</v>
      </c>
    </row>
    <row r="109" spans="1:3" ht="25.5" customHeight="1">
      <c r="A109" s="620" t="s">
        <v>308</v>
      </c>
      <c r="B109" s="368" t="s">
        <v>559</v>
      </c>
      <c r="C109" s="368" t="str">
        <f>'９．成果目標'!E4</f>
        <v>30件以上（3年累計）</v>
      </c>
    </row>
    <row r="110" spans="1:3" ht="36" customHeight="1">
      <c r="A110" s="620"/>
      <c r="B110" s="370" t="s">
        <v>560</v>
      </c>
      <c r="C110" s="368" t="str">
        <f>'９．成果目標'!E5</f>
        <v>リテラシー・実践・高度の3階層×3年×複数開講＋FD研修（年2回×3年）＋出前授業（年4回×3年）＋サマースクール（年1回×3年）＋研究会等を含む。3年間で30件以上のプログラム実施を計画。</v>
      </c>
    </row>
    <row r="111" spans="1:3" ht="36" customHeight="1">
      <c r="A111" s="620"/>
      <c r="B111" s="370" t="s">
        <v>561</v>
      </c>
      <c r="C111" s="368" t="str">
        <f>'９．成果目標'!E6</f>
        <v>事務局における実施記録（開講記録、出前授業記録、研修記録、参加者名簿等）に基づき、年度ごとに集計。中間研究レポート・最終研究レポートにて公開。</v>
      </c>
    </row>
    <row r="112" spans="1:3" ht="18" customHeight="1">
      <c r="A112" s="620"/>
      <c r="B112" s="368" t="s">
        <v>562</v>
      </c>
      <c r="C112" s="368" t="str">
        <f>'９．成果目標'!E8</f>
        <v>177団体以上（3年累計：自治体15／中高75／高等教育機関45／各種学校42）＋業界団体・関係省庁等</v>
      </c>
    </row>
    <row r="113" spans="1:5" ht="18" customHeight="1">
      <c r="A113" s="620"/>
      <c r="B113" s="370" t="s">
        <v>563</v>
      </c>
      <c r="C113" s="368" t="str">
        <f>'９．成果目標'!E9</f>
        <v>全国の自治体15・中高75・高等教育機関45・各種学校42の累計177団体への教育モデル展開（教職員研修＋プログラム提供数延べ）に加え、業界横断連携企業群（5分野）と業界団体（CESA・VFX-JAPAN等）、関係省庁（経済産業省・文化庁・内閣府）への報告を計画。本学既存ネットワークおよびベネッセAI教育研究所の全国教育機関ネットワークを活用して達成。</v>
      </c>
      <c r="D113" s="368"/>
      <c r="E113" s="368"/>
    </row>
    <row r="114" spans="1:5" ht="18" customHeight="1">
      <c r="A114" s="620"/>
      <c r="B114" s="370" t="s">
        <v>564</v>
      </c>
      <c r="C114" s="368" t="str">
        <f>'９．成果目標'!E10</f>
        <v>カリキュラム公開ライセンス契約数、FD研修受講機関数、出前授業実施校数、研究会共催・後援等の記録を事務局で管理し、ベネッセAI教育研究所と連携して年度ごとに集計。</v>
      </c>
      <c r="D114" s="368"/>
      <c r="E114" s="368"/>
    </row>
    <row r="115" spans="1:5" ht="21" customHeight="1">
      <c r="A115" s="620"/>
      <c r="B115" s="368" t="s">
        <v>565</v>
      </c>
      <c r="C115" s="368" t="str">
        <f>'９．成果目標'!E13</f>
        <v>1,080名（3年累計）</v>
      </c>
      <c r="D115" s="368"/>
      <c r="E115" s="368"/>
    </row>
    <row r="116" spans="1:5" ht="18" customHeight="1">
      <c r="A116" s="620"/>
      <c r="B116" s="370" t="s">
        <v>566</v>
      </c>
      <c r="C116" s="368" t="str">
        <f>'９．成果目標'!E14</f>
        <v>【3階層構成】リテラシー600名（年200名×3年）＋実践360名（年120名×3年）＋高度120名（年40名×3年）＝累計1,080名。【算出根拠】リテラシー（年200名）は本学既存のAIリテラシー講座の受講者数、実践（年120名）は既存の該当ゼミ（3年生以降）の在籍人数、高度（年40名）は本学における今年度の履修見込み数を、それぞれ基準として算出した。いずれも本学（大学院2004・大学2005年開学）の現有教育リソースから積み上げ可能な水準。</v>
      </c>
      <c r="D116" s="368"/>
      <c r="E116" s="368"/>
    </row>
    <row r="117" spans="1:5" ht="18" customHeight="1">
      <c r="A117" s="620"/>
      <c r="B117" s="368" t="s">
        <v>567</v>
      </c>
      <c r="C117" s="368" t="str">
        <f>'９．成果目標'!E15</f>
        <v>受講生名簿、修了認定（カリキュラム修了要件達成）、ポートフォリオ評価により集計。ベネッセAI教育研究所による事前事後アセスメントで習得状況を定量検証。</v>
      </c>
      <c r="D117" s="368"/>
      <c r="E117" s="368"/>
    </row>
    <row r="118" spans="1:5" ht="18" customHeight="1">
      <c r="A118" s="620"/>
      <c r="B118" s="368" t="s">
        <v>568</v>
      </c>
      <c r="C118" s="368" t="str">
        <f>'９．成果目標'!E17</f>
        <v>業界就業率（中級・上級修了生）／修了後3年継続従事率</v>
      </c>
      <c r="D118" s="368"/>
      <c r="E118" s="368"/>
    </row>
    <row r="119" spans="1:5" ht="18" customHeight="1">
      <c r="A119" s="620"/>
      <c r="B119" s="368" t="s">
        <v>569</v>
      </c>
      <c r="C119" s="368" t="str">
        <f>'９．成果目標'!E18</f>
        <v>業界就業率70%以上／修了後3年継続従事率70%以上</v>
      </c>
      <c r="D119" s="368"/>
      <c r="E119" s="368"/>
    </row>
    <row r="120" spans="1:5" ht="36" customHeight="1">
      <c r="A120" s="620"/>
      <c r="B120" s="370" t="s">
        <v>570</v>
      </c>
      <c r="C120" s="368" t="str">
        <f>'９．成果目標'!E19</f>
        <v>デジタルハリウッドグループ累計9万人以上の輩出実績、本学（大学・大学院）におけるPBL・企業連携教育を通じた即戦力人材輩出の実績に基づき設定。業界横断連携（5分野）による就業先の多様性が定着率向上に寄与。</v>
      </c>
      <c r="D120" s="368"/>
      <c r="E120" s="368"/>
    </row>
    <row r="121" spans="1:5" ht="18" customHeight="1">
      <c r="A121" s="620"/>
      <c r="B121" s="368" t="s">
        <v>571</v>
      </c>
      <c r="C121" s="368" t="str">
        <f>'９．成果目標'!E20</f>
        <v>EBPM評価では、受講生の事前事後アセスメントによるスキル習得度、修了生3年継続追跡による業界就業率・継続従事率、産業横断的な就業先分布をエビデンスとして測定する。ベネッセAI教育研究所が要因分析を行い、業界標準コンピテンシーモデルの策定と経産省・文化庁への報告書を通じて政策立案・産業界に還元する。</v>
      </c>
      <c r="D121" s="368"/>
      <c r="E121" s="368"/>
    </row>
    <row r="122" spans="1:5" ht="18" customHeight="1">
      <c r="A122" s="620"/>
      <c r="B122" s="368" t="s">
        <v>572</v>
      </c>
      <c r="C122" s="368" t="str">
        <f>'９．成果目標'!E22</f>
        <v>教材公開数／FD研修受講教員数／業界標準コンピテンシーモデル等の公開</v>
      </c>
      <c r="D122" s="368"/>
      <c r="E122" s="368"/>
    </row>
    <row r="123" spans="1:5" ht="18" customHeight="1">
      <c r="A123" s="620"/>
      <c r="B123" s="368" t="s">
        <v>573</v>
      </c>
      <c r="C123" s="368" t="str">
        <f>'９．成果目標'!E23</f>
        <v>公開教材50本以上／FD研修受講教員150名以上／業界標準コンピテンシーモデル1件公開／国産デジタルデザインPF要件定義書1件公開／関連研究会3回以上開催／AIネイティブワークフロー公開事例30事例以上</v>
      </c>
      <c r="D123" s="368"/>
      <c r="E123" s="368"/>
    </row>
    <row r="124" spans="1:5" ht="18" customHeight="1">
      <c r="A124" s="620"/>
      <c r="B124" s="370" t="s">
        <v>574</v>
      </c>
      <c r="C124" s="368" t="str">
        <f>'９．成果目標'!E24</f>
        <v>本学のLEDウォール環境およびAIネイティブ教育環境を背景に、産業横断型3DCG制作中核人材育成モデルを公共財として展開する観点から設定。</v>
      </c>
      <c r="D124" s="368"/>
      <c r="E124" s="368"/>
    </row>
    <row r="125" spans="1:5" ht="18" customHeight="1">
      <c r="A125" s="620"/>
      <c r="B125" s="368" t="s">
        <v>575</v>
      </c>
      <c r="C125" s="368" t="str">
        <f>'９．成果目標'!E25</f>
        <v>オンライン教育プラットフォーム上の教材公開数、FD研修参加者名簿、業界団体・関係省庁との共有記録、研究会実施記録に基づき年度ごとに集計。研究レポートで公開。</v>
      </c>
      <c r="D125" s="368"/>
      <c r="E125" s="368"/>
    </row>
    <row r="126" spans="1:5" ht="27" customHeight="1">
      <c r="A126" s="620" t="s">
        <v>576</v>
      </c>
      <c r="B126" s="368" t="s">
        <v>577</v>
      </c>
      <c r="C126" s="371">
        <f>'１０．収支予算書'!C14</f>
        <v>52997</v>
      </c>
      <c r="D126" s="368"/>
      <c r="E126" s="371"/>
    </row>
    <row r="127" spans="1:5" ht="18" customHeight="1">
      <c r="A127" s="620"/>
      <c r="B127" s="368" t="s">
        <v>578</v>
      </c>
      <c r="C127" s="371">
        <f>'１０．収支予算書'!C15</f>
        <v>10260</v>
      </c>
      <c r="D127" s="368"/>
      <c r="E127" s="371"/>
    </row>
    <row r="128" spans="1:5" ht="18" customHeight="1">
      <c r="A128" s="620"/>
      <c r="B128" s="368" t="s">
        <v>579</v>
      </c>
      <c r="C128" s="371">
        <f>'１０．収支予算書'!C16</f>
        <v>6000</v>
      </c>
      <c r="D128" s="368"/>
      <c r="E128" s="371"/>
    </row>
    <row r="129" spans="1:13" ht="18" customHeight="1">
      <c r="A129" s="620"/>
      <c r="B129" s="368" t="s">
        <v>580</v>
      </c>
      <c r="C129" s="371">
        <f>'１０．収支予算書'!C17</f>
        <v>104040</v>
      </c>
      <c r="D129" s="368"/>
      <c r="E129" s="371"/>
      <c r="F129" s="368"/>
      <c r="G129" s="368"/>
      <c r="H129" s="368"/>
      <c r="I129" s="368"/>
      <c r="J129" s="368"/>
      <c r="K129" s="368"/>
      <c r="L129" s="368"/>
      <c r="M129" s="368"/>
    </row>
    <row r="130" spans="1:13" ht="18" customHeight="1">
      <c r="A130" s="620"/>
      <c r="B130" s="368" t="s">
        <v>581</v>
      </c>
      <c r="C130" s="371">
        <f>'１０．収支予算書'!C18</f>
        <v>1350</v>
      </c>
      <c r="D130" s="368"/>
      <c r="E130" s="371"/>
      <c r="F130" s="368"/>
      <c r="G130" s="368"/>
      <c r="H130" s="368"/>
      <c r="I130" s="368"/>
      <c r="J130" s="368"/>
      <c r="K130" s="368"/>
      <c r="L130" s="368"/>
      <c r="M130" s="368"/>
    </row>
    <row r="131" spans="1:13" ht="18" customHeight="1">
      <c r="A131" s="620"/>
      <c r="B131" s="368" t="s">
        <v>582</v>
      </c>
      <c r="C131" s="371">
        <f>'１０．収支予算書'!C19</f>
        <v>3390</v>
      </c>
      <c r="D131" s="368"/>
      <c r="E131" s="371"/>
      <c r="F131" s="368"/>
      <c r="G131" s="368"/>
      <c r="H131" s="368"/>
      <c r="I131" s="368"/>
      <c r="J131" s="368"/>
      <c r="K131" s="368"/>
      <c r="L131" s="368"/>
      <c r="M131" s="368"/>
    </row>
    <row r="132" spans="1:13" ht="18" customHeight="1">
      <c r="A132" s="620"/>
      <c r="B132" s="370" t="s">
        <v>583</v>
      </c>
      <c r="C132" s="371">
        <f>'１０．収支予算書'!C20</f>
        <v>2520</v>
      </c>
      <c r="D132" s="368"/>
      <c r="E132" s="371"/>
      <c r="F132" s="368"/>
      <c r="G132" s="368"/>
      <c r="H132" s="368"/>
      <c r="I132" s="368"/>
      <c r="J132" s="368"/>
      <c r="K132" s="368"/>
      <c r="L132" s="368"/>
      <c r="M132" s="368"/>
    </row>
    <row r="133" spans="1:13" ht="18" customHeight="1">
      <c r="A133" s="620"/>
      <c r="B133" s="368" t="s">
        <v>584</v>
      </c>
      <c r="C133" s="371">
        <f>'１０．収支予算書'!C21</f>
        <v>7410</v>
      </c>
      <c r="D133" s="368"/>
      <c r="E133" s="371"/>
      <c r="F133" s="368"/>
      <c r="G133" s="368"/>
      <c r="H133" s="368"/>
      <c r="I133" s="368"/>
      <c r="J133" s="368"/>
      <c r="K133" s="368"/>
      <c r="L133" s="368"/>
      <c r="M133" s="368"/>
    </row>
    <row r="134" spans="1:13" ht="18" customHeight="1">
      <c r="A134" s="620"/>
      <c r="B134" s="368" t="s">
        <v>585</v>
      </c>
      <c r="C134" s="371">
        <f>'１０．収支予算書'!C22</f>
        <v>180</v>
      </c>
      <c r="D134" s="368"/>
      <c r="E134" s="371"/>
      <c r="F134" s="368"/>
      <c r="G134" s="368"/>
      <c r="H134" s="368"/>
      <c r="I134" s="368"/>
      <c r="J134" s="368"/>
      <c r="K134" s="368"/>
      <c r="L134" s="368"/>
      <c r="M134" s="368"/>
    </row>
    <row r="135" spans="1:13" ht="18" customHeight="1">
      <c r="A135" s="620"/>
      <c r="B135" s="368" t="s">
        <v>361</v>
      </c>
      <c r="C135" s="371">
        <f>'１０．収支予算書'!C23</f>
        <v>15000</v>
      </c>
      <c r="D135" s="368"/>
      <c r="E135" s="368"/>
      <c r="F135" s="371"/>
      <c r="G135" s="368"/>
      <c r="H135" s="368"/>
      <c r="I135" s="368"/>
      <c r="J135" s="368"/>
      <c r="K135" s="368"/>
      <c r="L135" s="368"/>
      <c r="M135" s="368"/>
    </row>
    <row r="136" spans="1:13" ht="18" customHeight="1">
      <c r="A136" s="620"/>
      <c r="B136" s="368" t="s">
        <v>362</v>
      </c>
      <c r="C136" s="371">
        <f>'１０．収支予算書'!C24</f>
        <v>203147</v>
      </c>
      <c r="D136" s="368"/>
      <c r="E136" s="368"/>
      <c r="F136" s="371"/>
      <c r="G136" s="368"/>
      <c r="H136" s="368"/>
      <c r="I136" s="368"/>
      <c r="J136" s="368"/>
      <c r="K136" s="368"/>
      <c r="L136" s="368"/>
      <c r="M136" s="368"/>
    </row>
    <row r="137" spans="1:13" ht="18" customHeight="1">
      <c r="A137" s="620"/>
      <c r="B137" s="368" t="s">
        <v>363</v>
      </c>
      <c r="C137" s="371">
        <f>'１０．収支予算書'!C25</f>
        <v>11829</v>
      </c>
      <c r="D137" s="368"/>
      <c r="E137" s="368"/>
      <c r="F137" s="371"/>
      <c r="G137" s="368"/>
      <c r="H137" s="368"/>
      <c r="I137" s="368"/>
      <c r="J137" s="368"/>
      <c r="K137" s="368"/>
      <c r="L137" s="368"/>
      <c r="M137" s="368"/>
    </row>
    <row r="138" spans="1:13" ht="18" customHeight="1">
      <c r="A138" s="620"/>
      <c r="B138" s="368" t="s">
        <v>364</v>
      </c>
      <c r="C138" s="371">
        <f>'１０．収支予算書'!C26</f>
        <v>191318</v>
      </c>
      <c r="D138" s="368"/>
      <c r="E138" s="368"/>
      <c r="F138" s="371"/>
      <c r="G138" s="368"/>
      <c r="H138" s="368"/>
      <c r="I138" s="368"/>
      <c r="J138" s="368"/>
      <c r="K138" s="368"/>
      <c r="L138" s="368"/>
      <c r="M138" s="368"/>
    </row>
    <row r="139" spans="1:13" ht="18" customHeight="1">
      <c r="A139" s="620"/>
      <c r="B139" s="368" t="s">
        <v>365</v>
      </c>
      <c r="C139" s="371">
        <f>'１０．収支予算書'!C27</f>
        <v>0</v>
      </c>
      <c r="D139" s="368"/>
      <c r="E139" s="368"/>
      <c r="F139" s="371"/>
      <c r="G139" s="368"/>
      <c r="H139" s="368"/>
      <c r="I139" s="368"/>
      <c r="J139" s="368"/>
      <c r="K139" s="368"/>
      <c r="L139" s="368"/>
      <c r="M139" s="368"/>
    </row>
    <row r="140" spans="1:13" ht="18" customHeight="1">
      <c r="A140" s="620"/>
      <c r="B140" s="368" t="s">
        <v>366</v>
      </c>
      <c r="C140" s="371">
        <f>'１０．収支予算書'!C28</f>
        <v>203147</v>
      </c>
      <c r="D140" s="368"/>
      <c r="E140" s="368"/>
      <c r="F140" s="371"/>
      <c r="G140" s="368"/>
      <c r="H140" s="368"/>
      <c r="I140" s="368"/>
      <c r="J140" s="368"/>
      <c r="K140" s="368"/>
      <c r="L140" s="368"/>
      <c r="M140" s="368"/>
    </row>
    <row r="141" spans="1:13" ht="18" customHeight="1">
      <c r="A141" s="620"/>
      <c r="B141" s="368" t="s">
        <v>367</v>
      </c>
      <c r="C141" s="371">
        <f>'１０．収支予算書'!C30</f>
        <v>191318</v>
      </c>
      <c r="D141" s="368"/>
      <c r="E141" s="368"/>
      <c r="F141" s="371"/>
      <c r="G141" s="368"/>
      <c r="H141" s="368"/>
      <c r="I141" s="368"/>
      <c r="J141" s="368"/>
      <c r="K141" s="368"/>
      <c r="L141" s="368"/>
      <c r="M141" s="368"/>
    </row>
    <row r="142" spans="1:13" ht="18" customHeight="1">
      <c r="A142" s="620"/>
      <c r="B142" s="368" t="s">
        <v>369</v>
      </c>
      <c r="C142" s="371">
        <f>'１０．収支予算書'!C31</f>
        <v>191318</v>
      </c>
      <c r="D142" s="368"/>
      <c r="E142" s="368"/>
      <c r="F142" s="371"/>
      <c r="G142" s="368"/>
      <c r="H142" s="368"/>
      <c r="I142" s="368"/>
      <c r="J142" s="368"/>
      <c r="K142" s="368"/>
      <c r="L142" s="368"/>
      <c r="M142" s="368"/>
    </row>
    <row r="143" spans="1:13" ht="18" customHeight="1">
      <c r="A143" s="617" t="s">
        <v>586</v>
      </c>
      <c r="B143" s="368" t="s">
        <v>587</v>
      </c>
      <c r="C143" s="380" t="str">
        <f>誓約書!D12</f>
        <v>令和　　年　　月　　日</v>
      </c>
      <c r="D143" s="380"/>
      <c r="E143" s="380"/>
      <c r="F143" s="368"/>
      <c r="G143" s="368"/>
      <c r="H143" s="368"/>
      <c r="I143" s="368"/>
      <c r="J143" s="368"/>
      <c r="K143" s="368"/>
      <c r="L143" s="368"/>
      <c r="M143" s="370"/>
    </row>
    <row r="144" spans="1:13" ht="18" customHeight="1">
      <c r="A144" s="617"/>
      <c r="B144" s="368" t="s">
        <v>472</v>
      </c>
      <c r="C144" s="368" t="str">
        <f>誓約書!F13&amp;誓約書!F14</f>
        <v>〒101-0062 東京都千代田区神田駿河台4-6御茶ノ水ソラシティ アカデミア 4F</v>
      </c>
      <c r="D144" s="368"/>
      <c r="E144" s="368"/>
      <c r="F144" s="368"/>
      <c r="G144" s="368"/>
      <c r="H144" s="368"/>
      <c r="I144" s="368"/>
      <c r="J144" s="368"/>
      <c r="K144" s="368"/>
      <c r="L144" s="368"/>
      <c r="M144" s="371"/>
    </row>
    <row r="145" spans="1:3" ht="18" customHeight="1">
      <c r="A145" s="617"/>
      <c r="B145" s="368" t="s">
        <v>50</v>
      </c>
      <c r="C145" s="368" t="str">
        <f>誓約書!F15</f>
        <v>デジタルハリウッド株式会社</v>
      </c>
    </row>
    <row r="146" spans="1:3" ht="18" customHeight="1">
      <c r="A146" s="617"/>
      <c r="B146" s="368" t="s">
        <v>475</v>
      </c>
      <c r="C146" s="368" t="str">
        <f>誓約書!F16</f>
        <v>代表取締役社長兼CEO　藤井雅徳</v>
      </c>
    </row>
    <row r="148" spans="1:3" ht="18" customHeight="1">
      <c r="A148" s="368"/>
      <c r="B148" s="381" t="s">
        <v>588</v>
      </c>
      <c r="C148" s="368"/>
    </row>
    <row r="149" spans="1:3" ht="18" customHeight="1">
      <c r="A149" s="368"/>
      <c r="B149" s="381" t="s">
        <v>589</v>
      </c>
      <c r="C149" s="368"/>
    </row>
    <row r="150" spans="1:3" ht="18" customHeight="1">
      <c r="A150" s="368"/>
      <c r="B150" s="381" t="s">
        <v>590</v>
      </c>
      <c r="C150" s="368"/>
    </row>
    <row r="151" spans="1:3" ht="18" customHeight="1">
      <c r="A151" s="368"/>
      <c r="B151" s="381" t="s">
        <v>591</v>
      </c>
      <c r="C151" s="368"/>
    </row>
    <row r="152" spans="1:3" ht="18" customHeight="1">
      <c r="A152" s="368"/>
      <c r="B152" s="381" t="s">
        <v>592</v>
      </c>
      <c r="C152" s="368"/>
    </row>
    <row r="153" spans="1:3" ht="18" customHeight="1">
      <c r="A153" s="368"/>
      <c r="B153" s="381" t="s">
        <v>593</v>
      </c>
      <c r="C153" s="368"/>
    </row>
    <row r="154" spans="1:3" ht="18" customHeight="1">
      <c r="A154" s="368"/>
      <c r="B154" s="381" t="s">
        <v>594</v>
      </c>
      <c r="C154" s="368"/>
    </row>
  </sheetData>
  <mergeCells count="10">
    <mergeCell ref="A98:A105"/>
    <mergeCell ref="A106:A108"/>
    <mergeCell ref="A109:A125"/>
    <mergeCell ref="A126:A142"/>
    <mergeCell ref="A143:A146"/>
    <mergeCell ref="A1:A26"/>
    <mergeCell ref="A27:A52"/>
    <mergeCell ref="B49:B52"/>
    <mergeCell ref="A53:A95"/>
    <mergeCell ref="A96:A97"/>
  </mergeCells>
  <phoneticPr fontId="77"/>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6"/>
  <sheetViews>
    <sheetView zoomScaleNormal="100" workbookViewId="0">
      <selection activeCell="B17" sqref="B17"/>
    </sheetView>
  </sheetViews>
  <sheetFormatPr defaultColWidth="8.5" defaultRowHeight="18"/>
  <cols>
    <col min="1" max="1" width="11.6640625" style="367" customWidth="1"/>
    <col min="2" max="2" width="21.6640625" style="367" customWidth="1"/>
    <col min="3" max="3" width="36.6640625" style="367" customWidth="1"/>
    <col min="4" max="4" width="53.33203125" style="367" customWidth="1"/>
    <col min="5" max="5" width="33.33203125" style="367" customWidth="1"/>
  </cols>
  <sheetData>
    <row r="1" spans="1:5" ht="27.75" customHeight="1">
      <c r="A1" s="621" t="s">
        <v>595</v>
      </c>
      <c r="B1" s="621"/>
      <c r="C1" s="621"/>
      <c r="D1" s="621"/>
      <c r="E1" s="621"/>
    </row>
    <row r="3" spans="1:5" ht="18" customHeight="1">
      <c r="A3" s="382" t="s">
        <v>596</v>
      </c>
      <c r="B3" s="382" t="s">
        <v>597</v>
      </c>
      <c r="C3" s="382" t="s">
        <v>598</v>
      </c>
      <c r="D3" s="382" t="s">
        <v>599</v>
      </c>
      <c r="E3" s="382" t="s">
        <v>600</v>
      </c>
    </row>
    <row r="4" spans="1:5" ht="54" customHeight="1">
      <c r="A4" s="383" t="s">
        <v>601</v>
      </c>
      <c r="B4" s="384" t="s">
        <v>602</v>
      </c>
      <c r="C4" s="384" t="s">
        <v>603</v>
      </c>
      <c r="D4" s="384" t="s">
        <v>604</v>
      </c>
      <c r="E4" s="385" t="s">
        <v>605</v>
      </c>
    </row>
    <row r="5" spans="1:5" ht="36" customHeight="1">
      <c r="A5" s="386" t="s">
        <v>606</v>
      </c>
      <c r="B5" s="387" t="s">
        <v>607</v>
      </c>
      <c r="C5" s="386" t="s">
        <v>608</v>
      </c>
      <c r="D5" s="387" t="s">
        <v>609</v>
      </c>
      <c r="E5" s="386"/>
    </row>
    <row r="6" spans="1:5" ht="18" customHeight="1">
      <c r="A6" s="386" t="s">
        <v>610</v>
      </c>
      <c r="B6" s="387" t="s">
        <v>611</v>
      </c>
      <c r="C6" s="387" t="s">
        <v>612</v>
      </c>
      <c r="D6" s="387" t="s">
        <v>613</v>
      </c>
      <c r="E6" s="386"/>
    </row>
    <row r="7" spans="1:5" ht="36" customHeight="1">
      <c r="A7" s="386" t="s">
        <v>610</v>
      </c>
      <c r="B7" s="387" t="s">
        <v>614</v>
      </c>
      <c r="C7" s="386" t="s">
        <v>59</v>
      </c>
      <c r="D7" s="387" t="s">
        <v>615</v>
      </c>
      <c r="E7" s="387" t="s">
        <v>616</v>
      </c>
    </row>
    <row r="8" spans="1:5" ht="36" customHeight="1">
      <c r="A8" s="386" t="s">
        <v>610</v>
      </c>
      <c r="B8" s="387" t="s">
        <v>617</v>
      </c>
      <c r="C8" s="386" t="s">
        <v>59</v>
      </c>
      <c r="D8" s="387" t="s">
        <v>618</v>
      </c>
      <c r="E8" s="387" t="s">
        <v>619</v>
      </c>
    </row>
    <row r="9" spans="1:5" ht="36" customHeight="1">
      <c r="A9" s="386" t="s">
        <v>620</v>
      </c>
      <c r="B9" s="387" t="s">
        <v>621</v>
      </c>
      <c r="C9" s="386" t="s">
        <v>59</v>
      </c>
      <c r="D9" s="386" t="s">
        <v>622</v>
      </c>
      <c r="E9" s="387" t="s">
        <v>623</v>
      </c>
    </row>
    <row r="10" spans="1:5" ht="36" customHeight="1">
      <c r="A10" s="386" t="s">
        <v>620</v>
      </c>
      <c r="B10" s="387" t="s">
        <v>624</v>
      </c>
      <c r="C10" s="387" t="s">
        <v>625</v>
      </c>
      <c r="D10" s="387" t="s">
        <v>626</v>
      </c>
      <c r="E10" s="387" t="s">
        <v>627</v>
      </c>
    </row>
    <row r="11" spans="1:5" ht="18" customHeight="1">
      <c r="A11" s="386" t="s">
        <v>628</v>
      </c>
      <c r="B11" s="387" t="s">
        <v>629</v>
      </c>
      <c r="C11" s="386" t="s">
        <v>59</v>
      </c>
      <c r="D11" s="386" t="s">
        <v>630</v>
      </c>
      <c r="E11" s="386"/>
    </row>
    <row r="12" spans="1:5" ht="18" customHeight="1">
      <c r="A12" s="386" t="s">
        <v>631</v>
      </c>
      <c r="B12" s="387" t="s">
        <v>629</v>
      </c>
      <c r="C12" s="386" t="s">
        <v>59</v>
      </c>
      <c r="D12" s="386" t="s">
        <v>632</v>
      </c>
      <c r="E12" s="386"/>
    </row>
    <row r="13" spans="1:5" ht="18" customHeight="1">
      <c r="A13" s="386" t="s">
        <v>633</v>
      </c>
      <c r="B13" s="387" t="s">
        <v>634</v>
      </c>
      <c r="C13" s="387" t="s">
        <v>635</v>
      </c>
      <c r="D13" s="387" t="s">
        <v>609</v>
      </c>
      <c r="E13" s="386" t="s">
        <v>636</v>
      </c>
    </row>
    <row r="14" spans="1:5" ht="36" customHeight="1">
      <c r="A14" s="386" t="s">
        <v>633</v>
      </c>
      <c r="B14" s="387" t="s">
        <v>637</v>
      </c>
      <c r="C14" s="386" t="s">
        <v>59</v>
      </c>
      <c r="D14" s="387" t="s">
        <v>638</v>
      </c>
      <c r="E14" s="386"/>
    </row>
    <row r="15" spans="1:5" ht="18" customHeight="1">
      <c r="A15" s="386" t="s">
        <v>633</v>
      </c>
      <c r="B15" s="387" t="s">
        <v>629</v>
      </c>
      <c r="C15" s="386" t="s">
        <v>59</v>
      </c>
      <c r="D15" s="386" t="s">
        <v>639</v>
      </c>
      <c r="E15" s="386"/>
    </row>
    <row r="16" spans="1:5" ht="18" customHeight="1">
      <c r="A16" s="388" t="s">
        <v>640</v>
      </c>
      <c r="B16" s="389" t="s">
        <v>641</v>
      </c>
      <c r="C16" s="388" t="s">
        <v>59</v>
      </c>
      <c r="D16" s="388" t="s">
        <v>59</v>
      </c>
      <c r="E16" s="389" t="s">
        <v>642</v>
      </c>
    </row>
  </sheetData>
  <mergeCells count="1">
    <mergeCell ref="A1:E1"/>
  </mergeCells>
  <phoneticPr fontId="77"/>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5"/>
  <sheetViews>
    <sheetView topLeftCell="A11" zoomScaleNormal="100" workbookViewId="0">
      <selection activeCell="E19" sqref="E19"/>
    </sheetView>
  </sheetViews>
  <sheetFormatPr defaultColWidth="8.5" defaultRowHeight="18"/>
  <cols>
    <col min="1" max="1" width="5.83203125" style="367" customWidth="1"/>
    <col min="2" max="2" width="21.6640625" style="367" customWidth="1"/>
    <col min="3" max="3" width="7.5" style="367" customWidth="1"/>
    <col min="4" max="4" width="29.1640625" style="367" customWidth="1"/>
    <col min="5" max="5" width="63.33203125" style="367" customWidth="1"/>
    <col min="6" max="6" width="13.33203125" style="367" customWidth="1"/>
  </cols>
  <sheetData>
    <row r="1" spans="1:6" ht="27.75" customHeight="1">
      <c r="A1" s="621" t="s">
        <v>643</v>
      </c>
      <c r="B1" s="621"/>
      <c r="C1" s="621"/>
      <c r="D1" s="621"/>
      <c r="E1" s="621"/>
      <c r="F1" s="621"/>
    </row>
    <row r="3" spans="1:6" ht="18" customHeight="1">
      <c r="A3" s="390" t="s">
        <v>644</v>
      </c>
      <c r="B3" s="391" t="s">
        <v>645</v>
      </c>
      <c r="C3" s="382" t="s">
        <v>646</v>
      </c>
      <c r="D3" s="391" t="s">
        <v>647</v>
      </c>
      <c r="E3" s="391" t="s">
        <v>648</v>
      </c>
      <c r="F3" s="382" t="s">
        <v>649</v>
      </c>
    </row>
    <row r="4" spans="1:6" ht="234" customHeight="1">
      <c r="A4" s="392">
        <v>1</v>
      </c>
      <c r="B4" s="387" t="s">
        <v>650</v>
      </c>
      <c r="C4" s="386" t="s">
        <v>651</v>
      </c>
      <c r="D4" s="387" t="s">
        <v>652</v>
      </c>
      <c r="E4" s="387" t="s">
        <v>653</v>
      </c>
      <c r="F4" s="393" t="s">
        <v>654</v>
      </c>
    </row>
    <row r="5" spans="1:6" ht="198" customHeight="1">
      <c r="A5" s="392">
        <v>2</v>
      </c>
      <c r="B5" s="387" t="s">
        <v>650</v>
      </c>
      <c r="C5" s="386" t="s">
        <v>655</v>
      </c>
      <c r="D5" s="387" t="s">
        <v>656</v>
      </c>
      <c r="E5" s="387" t="s">
        <v>657</v>
      </c>
      <c r="F5" s="393" t="s">
        <v>654</v>
      </c>
    </row>
    <row r="6" spans="1:6" ht="126" customHeight="1">
      <c r="A6" s="392">
        <v>3</v>
      </c>
      <c r="B6" s="387" t="s">
        <v>650</v>
      </c>
      <c r="C6" s="386" t="s">
        <v>658</v>
      </c>
      <c r="D6" s="387" t="s">
        <v>659</v>
      </c>
      <c r="E6" s="387" t="s">
        <v>660</v>
      </c>
      <c r="F6" s="393" t="s">
        <v>654</v>
      </c>
    </row>
    <row r="7" spans="1:6" ht="198" customHeight="1">
      <c r="A7" s="392">
        <v>4</v>
      </c>
      <c r="B7" s="387" t="s">
        <v>650</v>
      </c>
      <c r="C7" s="386" t="s">
        <v>661</v>
      </c>
      <c r="D7" s="387" t="s">
        <v>662</v>
      </c>
      <c r="E7" s="387" t="s">
        <v>663</v>
      </c>
      <c r="F7" s="393" t="s">
        <v>654</v>
      </c>
    </row>
    <row r="8" spans="1:6" ht="216" customHeight="1">
      <c r="A8" s="392">
        <v>5</v>
      </c>
      <c r="B8" s="387" t="s">
        <v>650</v>
      </c>
      <c r="C8" s="386" t="s">
        <v>664</v>
      </c>
      <c r="D8" s="387" t="s">
        <v>665</v>
      </c>
      <c r="E8" s="387" t="s">
        <v>666</v>
      </c>
      <c r="F8" s="393" t="s">
        <v>654</v>
      </c>
    </row>
    <row r="9" spans="1:6" ht="198" customHeight="1">
      <c r="A9" s="392">
        <v>6</v>
      </c>
      <c r="B9" s="387" t="s">
        <v>650</v>
      </c>
      <c r="C9" s="386" t="s">
        <v>667</v>
      </c>
      <c r="D9" s="387" t="s">
        <v>668</v>
      </c>
      <c r="E9" s="387" t="s">
        <v>669</v>
      </c>
      <c r="F9" s="394" t="s">
        <v>670</v>
      </c>
    </row>
    <row r="10" spans="1:6" ht="180" customHeight="1">
      <c r="A10" s="392">
        <v>7</v>
      </c>
      <c r="B10" s="387" t="s">
        <v>650</v>
      </c>
      <c r="C10" s="386" t="s">
        <v>671</v>
      </c>
      <c r="D10" s="387" t="s">
        <v>672</v>
      </c>
      <c r="E10" s="387" t="s">
        <v>673</v>
      </c>
      <c r="F10" s="394" t="s">
        <v>670</v>
      </c>
    </row>
    <row r="11" spans="1:6" ht="396" customHeight="1">
      <c r="A11" s="392">
        <v>8</v>
      </c>
      <c r="B11" s="387" t="s">
        <v>674</v>
      </c>
      <c r="C11" s="386" t="s">
        <v>675</v>
      </c>
      <c r="D11" s="387" t="s">
        <v>676</v>
      </c>
      <c r="E11" s="387" t="s">
        <v>677</v>
      </c>
      <c r="F11" s="393" t="s">
        <v>654</v>
      </c>
    </row>
    <row r="12" spans="1:6" ht="306" customHeight="1">
      <c r="A12" s="392">
        <v>9</v>
      </c>
      <c r="B12" s="387" t="s">
        <v>674</v>
      </c>
      <c r="C12" s="386" t="s">
        <v>678</v>
      </c>
      <c r="D12" s="387" t="s">
        <v>679</v>
      </c>
      <c r="E12" s="387" t="s">
        <v>680</v>
      </c>
      <c r="F12" s="393" t="s">
        <v>654</v>
      </c>
    </row>
    <row r="13" spans="1:6" ht="36" customHeight="1">
      <c r="A13" s="392">
        <v>10</v>
      </c>
      <c r="B13" s="387" t="s">
        <v>674</v>
      </c>
      <c r="C13" s="386" t="s">
        <v>681</v>
      </c>
      <c r="D13" s="387" t="s">
        <v>682</v>
      </c>
      <c r="E13" s="387" t="s">
        <v>683</v>
      </c>
      <c r="F13" s="393" t="s">
        <v>654</v>
      </c>
    </row>
    <row r="14" spans="1:6" ht="54" customHeight="1">
      <c r="A14" s="392">
        <v>11</v>
      </c>
      <c r="B14" s="387" t="s">
        <v>684</v>
      </c>
      <c r="C14" s="386" t="s">
        <v>685</v>
      </c>
      <c r="D14" s="387" t="s">
        <v>686</v>
      </c>
      <c r="E14" s="387" t="s">
        <v>687</v>
      </c>
      <c r="F14" s="395" t="s">
        <v>688</v>
      </c>
    </row>
    <row r="15" spans="1:6" ht="162" customHeight="1">
      <c r="A15" s="392">
        <v>12</v>
      </c>
      <c r="B15" s="387" t="s">
        <v>684</v>
      </c>
      <c r="C15" s="386" t="s">
        <v>671</v>
      </c>
      <c r="D15" s="387" t="s">
        <v>689</v>
      </c>
      <c r="E15" s="386" t="s">
        <v>690</v>
      </c>
      <c r="F15" s="395" t="s">
        <v>688</v>
      </c>
    </row>
    <row r="16" spans="1:6" ht="54" customHeight="1">
      <c r="A16" s="392">
        <v>13</v>
      </c>
      <c r="B16" s="387" t="s">
        <v>684</v>
      </c>
      <c r="C16" s="386" t="s">
        <v>691</v>
      </c>
      <c r="D16" s="387" t="s">
        <v>692</v>
      </c>
      <c r="E16" s="387" t="s">
        <v>693</v>
      </c>
      <c r="F16" s="395" t="s">
        <v>688</v>
      </c>
    </row>
    <row r="17" spans="1:6" ht="72" customHeight="1">
      <c r="A17" s="392">
        <v>14</v>
      </c>
      <c r="B17" s="387" t="s">
        <v>308</v>
      </c>
      <c r="C17" s="386" t="s">
        <v>694</v>
      </c>
      <c r="D17" s="387" t="s">
        <v>695</v>
      </c>
      <c r="E17" s="387" t="s">
        <v>696</v>
      </c>
      <c r="F17" s="393" t="s">
        <v>654</v>
      </c>
    </row>
    <row r="18" spans="1:6" ht="54" customHeight="1">
      <c r="A18" s="392">
        <v>15</v>
      </c>
      <c r="B18" s="387" t="s">
        <v>308</v>
      </c>
      <c r="C18" s="386" t="s">
        <v>697</v>
      </c>
      <c r="D18" s="387" t="s">
        <v>698</v>
      </c>
      <c r="E18" s="387" t="s">
        <v>699</v>
      </c>
      <c r="F18" s="393" t="s">
        <v>654</v>
      </c>
    </row>
    <row r="19" spans="1:6" ht="378" customHeight="1">
      <c r="A19" s="392">
        <v>16</v>
      </c>
      <c r="B19" s="387" t="s">
        <v>308</v>
      </c>
      <c r="C19" s="386" t="s">
        <v>700</v>
      </c>
      <c r="D19" s="387" t="s">
        <v>701</v>
      </c>
      <c r="E19" s="387" t="s">
        <v>702</v>
      </c>
      <c r="F19" s="393" t="s">
        <v>654</v>
      </c>
    </row>
    <row r="20" spans="1:6" ht="54" customHeight="1">
      <c r="A20" s="392">
        <v>17</v>
      </c>
      <c r="B20" s="387" t="s">
        <v>308</v>
      </c>
      <c r="C20" s="386" t="s">
        <v>703</v>
      </c>
      <c r="D20" s="387" t="s">
        <v>704</v>
      </c>
      <c r="E20" s="387" t="s">
        <v>705</v>
      </c>
      <c r="F20" s="393" t="s">
        <v>654</v>
      </c>
    </row>
    <row r="21" spans="1:6" ht="72" customHeight="1">
      <c r="A21" s="392">
        <v>18</v>
      </c>
      <c r="B21" s="387" t="s">
        <v>308</v>
      </c>
      <c r="C21" s="386" t="s">
        <v>706</v>
      </c>
      <c r="D21" s="387" t="s">
        <v>707</v>
      </c>
      <c r="E21" s="386" t="s">
        <v>708</v>
      </c>
      <c r="F21" s="393" t="s">
        <v>654</v>
      </c>
    </row>
    <row r="23" spans="1:6" ht="36" customHeight="1">
      <c r="A23" s="174" t="s">
        <v>709</v>
      </c>
      <c r="B23" s="396" t="s">
        <v>710</v>
      </c>
    </row>
    <row r="24" spans="1:6" ht="54" customHeight="1">
      <c r="B24" s="397" t="s">
        <v>711</v>
      </c>
    </row>
    <row r="25" spans="1:6" ht="54" customHeight="1">
      <c r="B25" s="398" t="s">
        <v>712</v>
      </c>
    </row>
  </sheetData>
  <mergeCells count="1">
    <mergeCell ref="A1:F1"/>
  </mergeCells>
  <phoneticPr fontId="77"/>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2"/>
  <sheetViews>
    <sheetView topLeftCell="A22" zoomScaleNormal="100" workbookViewId="0">
      <selection activeCell="F8" sqref="F8"/>
    </sheetView>
  </sheetViews>
  <sheetFormatPr defaultColWidth="8.5" defaultRowHeight="18"/>
  <cols>
    <col min="1" max="1" width="16.6640625" style="367" customWidth="1"/>
    <col min="2" max="2" width="26.6640625" style="367" customWidth="1"/>
    <col min="3" max="3" width="41.6640625" style="367" customWidth="1"/>
    <col min="4" max="4" width="36.6640625" style="367" customWidth="1"/>
  </cols>
  <sheetData>
    <row r="1" spans="1:4" ht="30" customHeight="1">
      <c r="A1" s="621" t="s">
        <v>713</v>
      </c>
      <c r="B1" s="621"/>
      <c r="C1" s="621"/>
      <c r="D1" s="621"/>
    </row>
    <row r="3" spans="1:4" ht="18" customHeight="1">
      <c r="A3" s="399" t="s">
        <v>714</v>
      </c>
      <c r="B3" s="400" t="s">
        <v>715</v>
      </c>
    </row>
    <row r="4" spans="1:4" ht="18" customHeight="1">
      <c r="A4" s="399" t="s">
        <v>716</v>
      </c>
      <c r="B4" s="401" t="s">
        <v>717</v>
      </c>
    </row>
    <row r="6" spans="1:4" ht="18" customHeight="1">
      <c r="A6" s="402" t="s">
        <v>718</v>
      </c>
      <c r="B6" s="402" t="s">
        <v>719</v>
      </c>
      <c r="C6" s="402" t="s">
        <v>720</v>
      </c>
      <c r="D6" s="402" t="s">
        <v>721</v>
      </c>
    </row>
    <row r="7" spans="1:4" ht="108" customHeight="1">
      <c r="A7" s="403" t="s">
        <v>722</v>
      </c>
      <c r="B7" s="404" t="s">
        <v>684</v>
      </c>
      <c r="C7" s="404" t="s">
        <v>723</v>
      </c>
      <c r="D7" s="405" t="s">
        <v>724</v>
      </c>
    </row>
    <row r="8" spans="1:4" ht="36" customHeight="1">
      <c r="A8" s="403" t="s">
        <v>725</v>
      </c>
      <c r="B8" s="404" t="s">
        <v>726</v>
      </c>
      <c r="C8" s="404" t="s">
        <v>727</v>
      </c>
      <c r="D8" s="404" t="s">
        <v>728</v>
      </c>
    </row>
    <row r="9" spans="1:4" ht="36" customHeight="1">
      <c r="A9" s="403" t="s">
        <v>729</v>
      </c>
      <c r="B9" s="404" t="s">
        <v>730</v>
      </c>
      <c r="C9" s="404" t="s">
        <v>731</v>
      </c>
      <c r="D9" s="404" t="s">
        <v>732</v>
      </c>
    </row>
    <row r="10" spans="1:4" ht="36" customHeight="1">
      <c r="A10" s="403" t="s">
        <v>733</v>
      </c>
      <c r="B10" s="404" t="s">
        <v>734</v>
      </c>
      <c r="C10" s="404" t="s">
        <v>735</v>
      </c>
      <c r="D10" s="404" t="s">
        <v>736</v>
      </c>
    </row>
    <row r="11" spans="1:4" ht="54" customHeight="1">
      <c r="A11" s="403" t="s">
        <v>737</v>
      </c>
      <c r="B11" s="404" t="s">
        <v>738</v>
      </c>
      <c r="C11" s="404" t="s">
        <v>739</v>
      </c>
      <c r="D11" s="405" t="s">
        <v>740</v>
      </c>
    </row>
    <row r="12" spans="1:4" ht="54" customHeight="1">
      <c r="A12" s="403" t="s">
        <v>741</v>
      </c>
      <c r="B12" s="404" t="s">
        <v>742</v>
      </c>
      <c r="C12" s="404" t="s">
        <v>743</v>
      </c>
      <c r="D12" s="404" t="s">
        <v>744</v>
      </c>
    </row>
    <row r="13" spans="1:4" ht="18" customHeight="1">
      <c r="A13" s="406" t="s">
        <v>745</v>
      </c>
      <c r="B13" s="405" t="s">
        <v>746</v>
      </c>
      <c r="C13" s="405" t="s">
        <v>747</v>
      </c>
      <c r="D13" s="405" t="s">
        <v>748</v>
      </c>
    </row>
    <row r="14" spans="1:4" ht="36" customHeight="1">
      <c r="A14" s="403" t="s">
        <v>749</v>
      </c>
      <c r="B14" s="404" t="s">
        <v>750</v>
      </c>
      <c r="C14" s="404" t="s">
        <v>751</v>
      </c>
      <c r="D14" s="404" t="s">
        <v>752</v>
      </c>
    </row>
    <row r="15" spans="1:4" ht="3.75" customHeight="1">
      <c r="A15" s="407"/>
      <c r="B15" s="407"/>
      <c r="C15" s="407"/>
      <c r="D15" s="407"/>
    </row>
    <row r="16" spans="1:4" ht="18" customHeight="1">
      <c r="A16" s="408" t="s">
        <v>753</v>
      </c>
      <c r="B16" s="405"/>
      <c r="C16" s="405"/>
      <c r="D16" s="405"/>
    </row>
    <row r="17" spans="1:4" ht="36" customHeight="1">
      <c r="A17" s="409" t="s">
        <v>754</v>
      </c>
      <c r="B17" s="404" t="s">
        <v>755</v>
      </c>
      <c r="C17" s="405"/>
      <c r="D17" s="405"/>
    </row>
    <row r="18" spans="1:4" ht="36" customHeight="1">
      <c r="A18" s="409" t="s">
        <v>754</v>
      </c>
      <c r="B18" s="404" t="s">
        <v>756</v>
      </c>
      <c r="C18" s="405"/>
      <c r="D18" s="405"/>
    </row>
    <row r="19" spans="1:4" ht="54" customHeight="1">
      <c r="A19" s="409" t="s">
        <v>754</v>
      </c>
      <c r="B19" s="404" t="s">
        <v>757</v>
      </c>
      <c r="C19" s="405"/>
      <c r="D19" s="405"/>
    </row>
    <row r="20" spans="1:4" ht="36" customHeight="1">
      <c r="A20" s="409" t="s">
        <v>754</v>
      </c>
      <c r="B20" s="404" t="s">
        <v>758</v>
      </c>
      <c r="C20" s="405"/>
      <c r="D20" s="405"/>
    </row>
    <row r="21" spans="1:4" ht="54" customHeight="1">
      <c r="A21" s="409" t="s">
        <v>754</v>
      </c>
      <c r="B21" s="405" t="s">
        <v>759</v>
      </c>
      <c r="C21" s="405"/>
      <c r="D21" s="405"/>
    </row>
    <row r="22" spans="1:4" ht="36" customHeight="1">
      <c r="A22" s="409" t="s">
        <v>754</v>
      </c>
      <c r="B22" s="405" t="s">
        <v>760</v>
      </c>
      <c r="C22" s="405"/>
      <c r="D22" s="405"/>
    </row>
  </sheetData>
  <mergeCells count="1">
    <mergeCell ref="A1:D1"/>
  </mergeCells>
  <phoneticPr fontId="77"/>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13</vt:i4>
      </vt:variant>
    </vt:vector>
  </HeadingPairs>
  <TitlesOfParts>
    <vt:vector size="30" baseType="lpstr">
      <vt:lpstr>表紙</vt:lpstr>
      <vt:lpstr>１．団体概要</vt:lpstr>
      <vt:lpstr>２．自己申告書</vt:lpstr>
      <vt:lpstr>３．全体計画、４．観点対応</vt:lpstr>
      <vt:lpstr>５．プロジェクト詳細</vt:lpstr>
      <vt:lpstr>６．スケジュール詳細</vt:lpstr>
      <vt:lpstr>７．連携先、８．指導者等</vt:lpstr>
      <vt:lpstr>９．成果目標</vt:lpstr>
      <vt:lpstr>１０．収支予算書</vt:lpstr>
      <vt:lpstr>経費予定額(令和8年度・1年目) </vt:lpstr>
      <vt:lpstr>経費予定額(令和9年度・2年目)</vt:lpstr>
      <vt:lpstr>経費予定額(令和10年度・3年目)</vt:lpstr>
      <vt:lpstr>誓約書</vt:lpstr>
      <vt:lpstr>芸文振確認用</vt:lpstr>
      <vt:lpstr>PPT変更履歴</vt:lpstr>
      <vt:lpstr>コメント一覧</vt:lpstr>
      <vt:lpstr>作業サマリー</vt:lpstr>
      <vt:lpstr>'１．団体概要'!Print_Area</vt:lpstr>
      <vt:lpstr>'１０．収支予算書'!Print_Area</vt:lpstr>
      <vt:lpstr>'２．自己申告書'!Print_Area</vt:lpstr>
      <vt:lpstr>'３．全体計画、４．観点対応'!Print_Area</vt:lpstr>
      <vt:lpstr>'５．プロジェクト詳細'!Print_Area</vt:lpstr>
      <vt:lpstr>'６．スケジュール詳細'!Print_Area</vt:lpstr>
      <vt:lpstr>'７．連携先、８．指導者等'!Print_Area</vt:lpstr>
      <vt:lpstr>'９．成果目標'!Print_Area</vt:lpstr>
      <vt:lpstr>'経費予定額(令和10年度・3年目)'!Print_Area</vt:lpstr>
      <vt:lpstr>'経費予定額(令和8年度・1年目) '!Print_Area</vt:lpstr>
      <vt:lpstr>'経費予定額(令和9年度・2年目)'!Print_Area</vt:lpstr>
      <vt:lpstr>誓約書!Print_Area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tazawa keiko</dc:creator>
  <dc:description/>
  <cp:lastModifiedBy>藤井 雅徳</cp:lastModifiedBy>
  <cp:revision>0</cp:revision>
  <dcterms:created xsi:type="dcterms:W3CDTF">2024-02-15T07:34:43Z</dcterms:created>
  <dcterms:modified xsi:type="dcterms:W3CDTF">2026-05-17T05:44:29Z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ActionId">
    <vt:lpwstr>237c5012-b607-4000-a297-ec2254f2f0f5</vt:lpwstr>
  </property>
  <property fmtid="{D5CDD505-2E9C-101B-9397-08002B2CF9AE}" pid="3" name="MSIP_Label_d899a617-f30e-4fb8-b81c-fb6d0b94ac5b_ContentBits">
    <vt:lpwstr>0</vt:lpwstr>
  </property>
  <property fmtid="{D5CDD505-2E9C-101B-9397-08002B2CF9AE}" pid="4" name="MSIP_Label_d899a617-f30e-4fb8-b81c-fb6d0b94ac5b_Enabled">
    <vt:lpwstr>true</vt:lpwstr>
  </property>
  <property fmtid="{D5CDD505-2E9C-101B-9397-08002B2CF9AE}" pid="5" name="MSIP_Label_d899a617-f30e-4fb8-b81c-fb6d0b94ac5b_Method">
    <vt:lpwstr>Standard</vt:lpwstr>
  </property>
  <property fmtid="{D5CDD505-2E9C-101B-9397-08002B2CF9AE}" pid="6" name="MSIP_Label_d899a617-f30e-4fb8-b81c-fb6d0b94ac5b_Name">
    <vt:lpwstr>機密性2情報</vt:lpwstr>
  </property>
  <property fmtid="{D5CDD505-2E9C-101B-9397-08002B2CF9AE}" pid="7" name="MSIP_Label_d899a617-f30e-4fb8-b81c-fb6d0b94ac5b_SetDate">
    <vt:lpwstr>2025-03-18T14:20:23Z</vt:lpwstr>
  </property>
  <property fmtid="{D5CDD505-2E9C-101B-9397-08002B2CF9AE}" pid="8" name="MSIP_Label_d899a617-f30e-4fb8-b81c-fb6d0b94ac5b_SiteId">
    <vt:lpwstr>545810b0-36cb-4290-8926-48dbc0f9e92f</vt:lpwstr>
  </property>
  <property fmtid="{D5CDD505-2E9C-101B-9397-08002B2CF9AE}" pid="9" name="MSIP_Label_d899a617-f30e-4fb8-b81c-fb6d0b94ac5b_Tag">
    <vt:lpwstr>10, 3, 0, 1</vt:lpwstr>
  </property>
</Properties>
</file>